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charts/chart2.xml" ContentType="application/vnd.openxmlformats-officedocument.drawingml.char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7" codeName="{B7FE6334-C1A2-E50D-BD3D-5F4D41BBC2E3}"/>
  <workbookPr codeName="ThisWorkbook" defaultThemeVersion="124226"/>
  <bookViews>
    <workbookView xWindow="-15" yWindow="-15" windowWidth="21660" windowHeight="5025" firstSheet="1" activeTab="1"/>
  </bookViews>
  <sheets>
    <sheet name="CB_DATA_" sheetId="6" state="veryHidden" r:id="rId1"/>
    <sheet name="Model" sheetId="5" r:id="rId2"/>
    <sheet name="Portfolio Analysis" sheetId="8" r:id="rId3"/>
    <sheet name="Project Finance Feed" sheetId="4" r:id="rId4"/>
    <sheet name="Project Request Feed" sheetId="9" r:id="rId5"/>
  </sheets>
  <externalReferences>
    <externalReference r:id="rId6"/>
  </externalReferences>
  <definedNames>
    <definedName name="Budget">Model!$D$2</definedName>
    <definedName name="CB_023096f8ba174c608dd6cfb720df764f" localSheetId="1" hidden="1">Model!$J$35</definedName>
    <definedName name="CB_04dbc072784f4994840b1e7f1701ddae" localSheetId="1" hidden="1">Model!$J$45</definedName>
    <definedName name="CB_075bf546601b404ca7a456f4c06b8dd3" localSheetId="1" hidden="1">Model!$J$24</definedName>
    <definedName name="CB_07c33dcb34944ed987a6d4dae222674b" localSheetId="1" hidden="1">Model!$J$19</definedName>
    <definedName name="CB_0d366597978d4156919589f30a251482" localSheetId="1" hidden="1">Model!$J$46</definedName>
    <definedName name="CB_0e504bb3fe6548a5a9404ad77bae7a9c" localSheetId="1" hidden="1">Model!$J$48</definedName>
    <definedName name="CB_0f261301253f4d95933aaaa4b8f0d333" localSheetId="1" hidden="1">Model!$E$4</definedName>
    <definedName name="CB_0fec0a2eb6094e9f93611ce53849e3b8" localSheetId="1" hidden="1">Model!$J$41</definedName>
    <definedName name="CB_10ba12acc3104aa190523eb480ce8d04" localSheetId="1" hidden="1">Model!$J$25</definedName>
    <definedName name="CB_10f2ddb778a245b485b1b7f6473ad714" localSheetId="1" hidden="1">Model!$J$36</definedName>
    <definedName name="CB_11d4ddabb5e24395a88cc0e24d82c15c" localSheetId="1" hidden="1">Model!$J$13</definedName>
    <definedName name="CB_1763a7b61fcd44b2969bd5bd359789eb" localSheetId="1" hidden="1">Model!$J$26</definedName>
    <definedName name="CB_18f0a9c3cec745999c465e03fdc4dd51" localSheetId="1" hidden="1">Model!$J$39</definedName>
    <definedName name="CB_1955cacc2f9247589115c8929018fab5" localSheetId="1" hidden="1">Model!$J$45</definedName>
    <definedName name="CB_1a163d5ef00b4e929215c0972e457a63" localSheetId="1" hidden="1">Model!$J$19</definedName>
    <definedName name="CB_1c4dfe5df59c435eb82027bd0ded4567" localSheetId="1" hidden="1">Model!$J$41</definedName>
    <definedName name="CB_1c98204fc699413ea882b930525e0b1a" localSheetId="1" hidden="1">Model!$J$28</definedName>
    <definedName name="CB_1d2b162ae20e420593dced9cce4fbfc5" localSheetId="1" hidden="1">Model!$J$47</definedName>
    <definedName name="CB_1e1461847fec40ceb39feeb6250333cf" localSheetId="1" hidden="1">Model!$J$20</definedName>
    <definedName name="CB_1e29a3aec32a45409032d65ee0436cfa" localSheetId="1" hidden="1">Model!$J$40</definedName>
    <definedName name="CB_1f4045d350734321b1a4c1baea19d927" localSheetId="1" hidden="1">Model!$J$29</definedName>
    <definedName name="CB_20e426b5a0b84afba8285ce5117ee0eb" localSheetId="1" hidden="1">Model!$E$4</definedName>
    <definedName name="CB_24f1ac16515544bf977cf58d85ba2a42" localSheetId="1" hidden="1">Model!$J$31</definedName>
    <definedName name="CB_26b1aaa7c8f44225a188636e163e9cd5" localSheetId="1" hidden="1">Model!$J$35</definedName>
    <definedName name="CB_272b15a54dd045f29f25b8fd53c5815a" localSheetId="1" hidden="1">Model!$J$29</definedName>
    <definedName name="CB_29e4d298258248e9b05f80cca3f947a9" localSheetId="1" hidden="1">Model!$J$44</definedName>
    <definedName name="CB_2c02190502aa446dbe1b905190f02e14" localSheetId="1" hidden="1">Model!$J$27</definedName>
    <definedName name="CB_2e37505361174733ad66632b874157e2" localSheetId="1" hidden="1">Model!$J$41</definedName>
    <definedName name="CB_2eeedcd803ad48ecbe1d0b470219ea8c" localSheetId="1" hidden="1">Model!$J$24</definedName>
    <definedName name="CB_31778899a4874161ae874c7b87f0df9c" localSheetId="1" hidden="1">Model!$J$20</definedName>
    <definedName name="CB_3606cd090fc2417480c7843ea00aab60" localSheetId="1" hidden="1">Model!$J$48</definedName>
    <definedName name="CB_37d3143d258549c1804103a11f5d2cf9" localSheetId="1" hidden="1">Model!$J$48</definedName>
    <definedName name="CB_38671d579a754c20b1edfa64e33ec46d" localSheetId="1" hidden="1">Model!$J$40</definedName>
    <definedName name="CB_3b1668edf89743a588bc67f1fc03304b" localSheetId="1" hidden="1">Model!$J$48</definedName>
    <definedName name="CB_3b1f4e98f80c48d6ba873abc4b969466" localSheetId="1" hidden="1">Model!$J$14</definedName>
    <definedName name="CB_3cc62d7407ae45968c388a647d5716b7" localSheetId="1" hidden="1">Model!$J$18</definedName>
    <definedName name="CB_4196170b9a5c403487e7136c5bc0e4dd" localSheetId="1" hidden="1">Model!$J$23</definedName>
    <definedName name="CB_44f4dca2183141999bde0628fe598179" localSheetId="1" hidden="1">Model!$J$23</definedName>
    <definedName name="CB_48974fd343a44073a4afa83eeb88ae16" localSheetId="1" hidden="1">Model!$J$37</definedName>
    <definedName name="CB_4a652657bf04498babeff62b935d446c" localSheetId="1" hidden="1">Model!$J$38</definedName>
    <definedName name="CB_4c3b576b34e840c3a44f9311579924ae" localSheetId="1" hidden="1">Model!$J$44</definedName>
    <definedName name="CB_4c84fefcf0a345a4b85c46f0a7462ea7" localSheetId="1" hidden="1">Model!$J$33</definedName>
    <definedName name="CB_50c056de3b044a11961470ddc4c37741" localSheetId="1" hidden="1">Model!$J$17</definedName>
    <definedName name="CB_53c1aebd7f9741e9a74ec2f24e8f889f" localSheetId="1" hidden="1">Model!$J$46</definedName>
    <definedName name="CB_541fd019efcf4c9f84b49e03b47ef5f4" localSheetId="1" hidden="1">Model!$J$44</definedName>
    <definedName name="CB_57f6cb23a362420793a93bbc9737427c" localSheetId="1" hidden="1">Model!$J$42</definedName>
    <definedName name="CB_59b80691e82c4d99901d7cad3c5f2e77" localSheetId="1" hidden="1">Model!$J$43</definedName>
    <definedName name="CB_5b84c08ca64644a2afed875c0c8ec830" localSheetId="1" hidden="1">Model!$J$22</definedName>
    <definedName name="CB_5bf46a3a7e4a46c4a2134978793c2bb7" localSheetId="1" hidden="1">Model!$J$43</definedName>
    <definedName name="CB_5c3b5e1dd54e4581b99f1ea232d4ddb9" localSheetId="1" hidden="1">Model!$J$39</definedName>
    <definedName name="CB_5db16aaf17224a70a8c95ce3719e2914" localSheetId="1" hidden="1">Model!$J$38</definedName>
    <definedName name="CB_608ef8913b4c420080821df78d067d50" localSheetId="1" hidden="1">Model!$J$39</definedName>
    <definedName name="CB_64fa532168bb431594c53380c7f040ea" localSheetId="1" hidden="1">Model!$J$30</definedName>
    <definedName name="CB_68fd8dc202ca4201afc6aa7459af27a4" localSheetId="1" hidden="1">Model!$J$33</definedName>
    <definedName name="CB_696076d125e4488382a5070661a3ac31" localSheetId="1" hidden="1">Model!$J$18</definedName>
    <definedName name="CB_6b04efc49a9143d9a13819f30c154cb2" localSheetId="1" hidden="1">Model!$J$46</definedName>
    <definedName name="CB_6b72473b8693437d92cc1a47ac672bf1" localSheetId="1" hidden="1">Model!$J$38</definedName>
    <definedName name="CB_6d0e4e6695154e2dbdc10c054e21300e" localSheetId="1" hidden="1">Model!$J$39</definedName>
    <definedName name="CB_6e86fa31906e468f9ac2c43bd7652187" localSheetId="1" hidden="1">Model!$J$28</definedName>
    <definedName name="CB_700640dd2e164c7696729667f451a25e" localSheetId="0" hidden="1">#N/A</definedName>
    <definedName name="CB_704534dc1c03418d8eaf3e6978e44233" localSheetId="1" hidden="1">Model!$J$41</definedName>
    <definedName name="CB_70fbe88eda7547dda0f297cc62411dca" localSheetId="1" hidden="1">Model!$J$27</definedName>
    <definedName name="CB_7105a1f8d3f94097a048152795451d6d" localSheetId="1" hidden="1">Model!$J$36</definedName>
    <definedName name="CB_71ec5f549f0944b29a3b9b70583c3488" localSheetId="1" hidden="1">Model!$J$33</definedName>
    <definedName name="CB_72d1ad8048114e01926c09a132624146" localSheetId="1" hidden="1">Model!$J$28</definedName>
    <definedName name="CB_734f8c520f454fcca1b9e8351df6b07a" localSheetId="1" hidden="1">Model!$J$45</definedName>
    <definedName name="CB_7822a715947e44b7acab044a1e71d51d" localSheetId="1" hidden="1">Model!$J$16</definedName>
    <definedName name="CB_7b19bf5216dd497cbe003743c987b332" localSheetId="1" hidden="1">Model!$J$29</definedName>
    <definedName name="CB_834f2b4ba6d749a9a0357549362f17e8" localSheetId="1" hidden="1">Model!$J$16</definedName>
    <definedName name="CB_8691c0ece30b490789fca28d3f0237d6" localSheetId="1" hidden="1">Model!$J$39</definedName>
    <definedName name="CB_8834f8447daf48e3a08adaa8739f3dce" localSheetId="1" hidden="1">Model!$J$42</definedName>
    <definedName name="CB_8ae7fd40b651431c843230a80acc4243" localSheetId="1" hidden="1">Model!$J$17</definedName>
    <definedName name="CB_91093f6976f241d4beb59e6d1f3102fb" localSheetId="1" hidden="1">Model!$J$21</definedName>
    <definedName name="CB_94e20e34248e4406aa11cf1a7b561e20" localSheetId="1" hidden="1">Model!$J$43</definedName>
    <definedName name="CB_9779d34e6e124ef3bcb708a07b8ddd66" localSheetId="1" hidden="1">Model!$J$43</definedName>
    <definedName name="CB_97eb7db30184403c854d0b211894d923" localSheetId="0" hidden="1">#N/A</definedName>
    <definedName name="CB_98eaf66cd4c44d2bbe1bb224821c7c22" localSheetId="1" hidden="1">Model!$J$42</definedName>
    <definedName name="CB_9cf2646647344451b0b0faf5c2b478eb" localSheetId="1" hidden="1">Model!$J$19</definedName>
    <definedName name="CB_9dcc5640e29b4c19a2433854f14c3261" localSheetId="1" hidden="1">Model!$J$30</definedName>
    <definedName name="CB_9f6cba6ce9384e5caf8e3c778ca43830" localSheetId="1" hidden="1">Model!$J$27</definedName>
    <definedName name="CB_a0102a185da941f8933c2a5c3e2cee92" localSheetId="1" hidden="1">Model!$J$44</definedName>
    <definedName name="CB_a04caf61f90940b2b06474bae42a62c6" localSheetId="1" hidden="1">Model!$E$4</definedName>
    <definedName name="CB_a1879a25e5b745599d88a46843857e80" localSheetId="1" hidden="1">Model!$J$42</definedName>
    <definedName name="CB_a1920a9a5ff84b6ca4e3a38fc7db0b36" localSheetId="1" hidden="1">Model!$J$36</definedName>
    <definedName name="CB_a353d0779c054bdc9a1471743e78282f" localSheetId="1" hidden="1">Model!$J$21</definedName>
    <definedName name="CB_a466b8ce0b524661bc63fe8d731cd62d" localSheetId="1" hidden="1">Model!$J$23</definedName>
    <definedName name="CB_a7ae2e646b4540a6b10d1f35e99f40d6" localSheetId="1" hidden="1">Model!$J$43</definedName>
    <definedName name="CB_a9554d3c56ad429a8c32331b2043f961" localSheetId="1" hidden="1">Model!$J$16</definedName>
    <definedName name="CB_a9e29508bc3b4147a34227f67494a75f" localSheetId="1" hidden="1">Model!$J$47</definedName>
    <definedName name="CB_ab7b62afdc0540b6b065e83011546adb" localSheetId="1" hidden="1">Model!$J$34</definedName>
    <definedName name="CB_ad59d6543ff844f08a2a465e01739df1" localSheetId="1" hidden="1">Model!$J$47</definedName>
    <definedName name="CB_b0252ae0585e4c408daf87658c6e6d4a" localSheetId="1" hidden="1">Model!$J$46</definedName>
    <definedName name="CB_b256c3e949f544eaa94bb027a1dfe9f1" localSheetId="1" hidden="1">Model!$J$41</definedName>
    <definedName name="CB_b32325799f954a3d91f75252c8db7c78" localSheetId="1" hidden="1">Model!$J$24</definedName>
    <definedName name="CB_b3441a3d6efc4ff0aaa6b4c2c1abc6e7" localSheetId="1" hidden="1">Model!$J$46</definedName>
    <definedName name="CB_b350dcd229fc4686b1dfa8e17e4613e4" localSheetId="1" hidden="1">Model!$J$18</definedName>
    <definedName name="CB_b3553d9536ec4645b68c54697fc9b862" localSheetId="1" hidden="1">Model!$J$31</definedName>
    <definedName name="CB_b8bc3d6741f7467589e9b2404edfb1bd" localSheetId="1" hidden="1">Model!$J$26</definedName>
    <definedName name="CB_ba6b2897fee747e8b3173632079921d9" localSheetId="1" hidden="1">Model!$J$20</definedName>
    <definedName name="CB_bb48fdc6119a4f5bacd56511f1c1fbf1" localSheetId="1" hidden="1">Model!$J$38</definedName>
    <definedName name="CB_bd41240f114f4643b73e51d25c5f8159" localSheetId="1" hidden="1">Model!$J$40</definedName>
    <definedName name="CB_bd67e89798b545c1bfe231bbc2b0ed50" localSheetId="1" hidden="1">Model!$J$14</definedName>
    <definedName name="CB_bea9c11968f14447a4f192538749dfa7" localSheetId="1" hidden="1">Model!$J$34</definedName>
    <definedName name="CB_bedcd3cc6b344bc1962bbc1f5557c334" localSheetId="1" hidden="1">Model!$J$47</definedName>
    <definedName name="CB_Block_00000000000000000000000000000000" localSheetId="0" hidden="1">"'7.0.0.0"</definedName>
    <definedName name="CB_Block_00000000000000000000000000000000" localSheetId="1" hidden="1">"'7.0.0.0"</definedName>
    <definedName name="CB_Block_00000000000000000000000000000001" localSheetId="0" hidden="1">"'635822331787026472"</definedName>
    <definedName name="CB_Block_00000000000000000000000000000001" localSheetId="1" hidden="1">"'635822331786726472"</definedName>
    <definedName name="CB_Block_00000000000000000000000000000003" localSheetId="0" hidden="1">"'11.1.4323.0"</definedName>
    <definedName name="CB_Block_00000000000000000000000000000003" localSheetId="1" hidden="1">"'11.1.4323.0"</definedName>
    <definedName name="CB_BlockExt_00000000000000000000000000000003" localSheetId="0" hidden="1">"'11.1.2.4.400"</definedName>
    <definedName name="CB_BlockExt_00000000000000000000000000000003" localSheetId="1" hidden="1">"'11.1.2.4.400"</definedName>
    <definedName name="CB_c10ed328707b4ff883b75c628168386a" localSheetId="1" hidden="1">Model!$J$40</definedName>
    <definedName name="CB_c1f9543b8ca440f7892b0f00d81942a9" localSheetId="1" hidden="1">Model!$J$32</definedName>
    <definedName name="CB_c37c66d44414455287442546a82acc2d" localSheetId="1" hidden="1">Model!$J$45</definedName>
    <definedName name="CB_c3d4fd7624354216882b4314c62b7dbd" localSheetId="1" hidden="1">Model!$J$15</definedName>
    <definedName name="CB_c3ff7cb27c1b46f9a4016bc138038141" localSheetId="1" hidden="1">Model!$J$35</definedName>
    <definedName name="CB_c529f620841d43be9f22114a2960a923" localSheetId="1" hidden="1">Model!$J$37</definedName>
    <definedName name="CB_c5ac490cfe854446a089557b4f0b4751" localSheetId="1" hidden="1">Model!$J$45</definedName>
    <definedName name="CB_c718fb8e52d540028b0795363d14c873" localSheetId="1" hidden="1">Model!$J$47</definedName>
    <definedName name="CB_c77faa81f8814a25ba6a645922891da8" localSheetId="1" hidden="1">Model!$J$13</definedName>
    <definedName name="CB_ca18a09c1f3e4fcdab24bb3e65fc9846" localSheetId="1" hidden="1">Model!$J$31</definedName>
    <definedName name="CB_cc845bf8a1f14d6e8d4a671c2cc50e06" localSheetId="1" hidden="1">Model!$J$40</definedName>
    <definedName name="CB_cd2aa7d18f624f4c8e78985aa5754115" localSheetId="1" hidden="1">Model!$J$15</definedName>
    <definedName name="CB_cedfac7a2f84465b9b9d9bd0fdc3f4fe" localSheetId="1" hidden="1">Model!$J$22</definedName>
    <definedName name="CB_d08a2b0b995e4e3a904f4b35d1b78b01" localSheetId="1" hidden="1">Model!$J$42</definedName>
    <definedName name="CB_d144260d51d74097a45be9b617d91c17" localSheetId="1" hidden="1">Model!$J$22</definedName>
    <definedName name="CB_d5d67255b3c3454fb84d0256e7ec0d9d" localSheetId="1" hidden="1">Model!$J$37</definedName>
    <definedName name="CB_d78a6d45ab6e4033b34d83636e9e1454" localSheetId="1" hidden="1">Model!$J$26</definedName>
    <definedName name="CB_d891517e22ff42b2858fe12ffa7ebf6d" localSheetId="1" hidden="1">Model!$J$21</definedName>
    <definedName name="CB_dae4c21066254d0cb48ef0d1bf129078" localSheetId="0" hidden="1">#N/A</definedName>
    <definedName name="CB_dcc11380242e423c85ab230ae5576bec" localSheetId="1" hidden="1">Model!$J$25</definedName>
    <definedName name="CB_dcd171ebc5f048f0a5646728f07fd889" localSheetId="1" hidden="1">Model!$J$44</definedName>
    <definedName name="CB_dda67d4aacf84194bba9cd8cb4404377" localSheetId="1" hidden="1">Model!$J$13</definedName>
    <definedName name="CB_de7fe92990bf4b858790647d586f8fbe" localSheetId="1" hidden="1">Model!$J$34</definedName>
    <definedName name="CB_dec3fbbcf1e54942a27283d8668193da" localSheetId="1" hidden="1">Model!$J$15</definedName>
    <definedName name="CB_e0d787d2694941c69b299f2f4d391f7d" localSheetId="1" hidden="1">Model!$J$32</definedName>
    <definedName name="CB_e22a3acf2b7d414e964daa18523e2106" localSheetId="1" hidden="1">Model!$J$38</definedName>
    <definedName name="CB_e684a9e9c019472ba7e6e65d1c01f837" localSheetId="1" hidden="1">Model!$J$25</definedName>
    <definedName name="CB_e90fcfb7033d4566b9f27a2a892a81f7" localSheetId="1" hidden="1">Model!$J$48</definedName>
    <definedName name="CB_e9dae754913d427385cadb5644dabe81" localSheetId="1" hidden="1">Model!$J$14</definedName>
    <definedName name="CB_f1778ecfbf9b4554812fc7ebdc081155" localSheetId="1" hidden="1">Model!$J$32</definedName>
    <definedName name="CB_f33f5bd451494c0ca2cd7aa24f94dd62" localSheetId="1" hidden="1">Model!$J$17</definedName>
    <definedName name="CB_f549d4f898f944fb88fc387e5a0aa78f" localSheetId="1" hidden="1">Model!$J$37</definedName>
    <definedName name="CB_f585405578104e3d8290add646261548" localSheetId="1" hidden="1">Model!$J$37</definedName>
    <definedName name="CB_f9a8a77f41a545fd9699e3a0eac2b91c" localSheetId="1" hidden="1">Model!$J$30</definedName>
    <definedName name="CBCR_1e3968d026f14847bbf5dc0bd1008941" localSheetId="0" hidden="1">CB_DATA_!$D$10003</definedName>
    <definedName name="CBCR_42569a75b9954977bde4e1c806f93e04" localSheetId="0" hidden="1">CB_DATA_!$C$10003</definedName>
    <definedName name="CBCR_4d36cc892c9f49018b7488e5d72c4c37" localSheetId="0" hidden="1">CB_DATA_!$D$10004</definedName>
    <definedName name="CBCR_67cd5b9787f64cf0a5ed0860476b6156" localSheetId="0" hidden="1">CB_DATA_!$A$10003</definedName>
    <definedName name="CBCR_86ce97967c3b4d7db371049b74883dec" localSheetId="0" hidden="1">CB_DATA_!$B$10003</definedName>
    <definedName name="CBCR_883defa067e84249948e0dca4f145fe2" localSheetId="0" hidden="1">CB_DATA_!$A$10001</definedName>
    <definedName name="CBCR_c4466002ced14b148cd0e0a16001f08d" localSheetId="0" hidden="1">CB_DATA_!$A$10004</definedName>
    <definedName name="CBCR_d1916e13a3da4eccbe94819774a40c79" localSheetId="0" hidden="1">CB_DATA_!$B$10004</definedName>
    <definedName name="CBCR_fa8ff9f075b9416cbbeddf45611766bd" localSheetId="0" hidden="1">CB_DATA_!$C$10004</definedName>
    <definedName name="CBWorkbookPriority" localSheetId="0" hidden="1">-632467104</definedName>
    <definedName name="CBx_5d779c385c224fa2b6ed3e549746cfc6" localSheetId="0" hidden="1">"'CB_DATA_'!$A$1"</definedName>
    <definedName name="CBx_d177d9b104fd435fa44cc2396e4a58b4" localSheetId="0" hidden="1">"'Model'!$A$1"</definedName>
    <definedName name="CBx_Sheet_Guid" localSheetId="0" hidden="1">"'5d779c38-5c22-4fa2-b6ed-3e549746cfc6"</definedName>
    <definedName name="CBx_Sheet_Guid" localSheetId="1" hidden="1">"'d177d9b1-04fd-435f-a44c-c2396e4a58b4"</definedName>
    <definedName name="CBx_SheetRef" localSheetId="0" hidden="1">CB_DATA_!$A$14</definedName>
    <definedName name="CBx_SheetRef" localSheetId="1" hidden="1">CB_DATA_!$B$14</definedName>
    <definedName name="CBx_StorageType" localSheetId="0" hidden="1">2</definedName>
    <definedName name="CBx_StorageType" localSheetId="1" hidden="1">2</definedName>
    <definedName name="Portfolio_Expenses">Model!$E$5</definedName>
    <definedName name="Portfolio_Resources">Model!$E$8</definedName>
    <definedName name="Resource_Capacity">Model!$F$2</definedName>
    <definedName name="Total_Expenses">Model!$D$5</definedName>
    <definedName name="Total_Resources">Model!$D$8</definedName>
  </definedNames>
  <calcPr calcId="125725" concurrentCalc="0" concurrentManualCount="4"/>
</workbook>
</file>

<file path=xl/calcChain.xml><?xml version="1.0" encoding="utf-8"?>
<calcChain xmlns="http://schemas.openxmlformats.org/spreadsheetml/2006/main">
  <c r="E8" i="5"/>
  <c r="A10003" i="6"/>
  <c r="C10003"/>
  <c r="B10003"/>
  <c r="D10003"/>
  <c r="E5" i="5"/>
  <c r="A10004" i="6"/>
  <c r="C10004"/>
  <c r="B10004"/>
  <c r="D10004"/>
  <c r="I48" i="5"/>
  <c r="I47"/>
  <c r="I46"/>
  <c r="I45"/>
  <c r="I44"/>
  <c r="I43"/>
  <c r="I42"/>
  <c r="I41"/>
  <c r="I40"/>
  <c r="I39"/>
  <c r="I38"/>
  <c r="I37"/>
  <c r="I36"/>
  <c r="I35"/>
  <c r="I34"/>
  <c r="I33"/>
  <c r="I32"/>
  <c r="I31"/>
  <c r="I30"/>
  <c r="I29"/>
  <c r="I28"/>
  <c r="I27"/>
  <c r="I26"/>
  <c r="I25"/>
  <c r="I24"/>
  <c r="I23"/>
  <c r="I22"/>
  <c r="I21"/>
  <c r="I20"/>
  <c r="I19"/>
  <c r="I18"/>
  <c r="I17"/>
  <c r="I16"/>
  <c r="I15"/>
  <c r="I13"/>
  <c r="I14"/>
  <c r="B5" i="8"/>
  <c r="B6"/>
  <c r="B4"/>
  <c r="Z8" i="5"/>
  <c r="Y8"/>
  <c r="X11"/>
  <c r="X10"/>
  <c r="X9"/>
  <c r="D8"/>
  <c r="D9"/>
  <c r="B11" i="6"/>
  <c r="A11"/>
  <c r="B7" i="8"/>
  <c r="D7"/>
  <c r="A10001" i="6"/>
  <c r="Z3" i="5"/>
  <c r="AA3"/>
  <c r="D4"/>
  <c r="Y9"/>
  <c r="E4"/>
  <c r="Z9"/>
  <c r="D5"/>
  <c r="Z5"/>
  <c r="Y6"/>
  <c r="Z6"/>
  <c r="AA6"/>
  <c r="AB6"/>
  <c r="D7"/>
  <c r="E7"/>
  <c r="Z4"/>
  <c r="Y10"/>
  <c r="Z10"/>
  <c r="D6"/>
  <c r="AA4"/>
  <c r="AA5"/>
  <c r="D5" i="8"/>
  <c r="D6"/>
  <c r="D4"/>
  <c r="Y11" i="5"/>
  <c r="B2" i="8"/>
  <c r="B3"/>
  <c r="E6" i="5"/>
  <c r="E9"/>
  <c r="Z11"/>
  <c r="C2" i="8"/>
  <c r="D2"/>
  <c r="C4"/>
  <c r="C5"/>
  <c r="C3"/>
  <c r="D3"/>
  <c r="C6"/>
  <c r="C7"/>
</calcChain>
</file>

<file path=xl/sharedStrings.xml><?xml version="1.0" encoding="utf-8"?>
<sst xmlns="http://schemas.openxmlformats.org/spreadsheetml/2006/main" count="4556" uniqueCount="1144">
  <si>
    <t>Project Name</t>
  </si>
  <si>
    <t>Project Status</t>
  </si>
  <si>
    <t>Starting Date</t>
  </si>
  <si>
    <t>Rank</t>
  </si>
  <si>
    <t>IT</t>
  </si>
  <si>
    <t>10</t>
  </si>
  <si>
    <t>Active</t>
  </si>
  <si>
    <t>Infrastructure</t>
  </si>
  <si>
    <t>Customer Experience</t>
  </si>
  <si>
    <t>Forsythe, John</t>
  </si>
  <si>
    <t>Customer Experience-P2</t>
  </si>
  <si>
    <t>Allen, Vanessa</t>
  </si>
  <si>
    <t>02</t>
  </si>
  <si>
    <t>08</t>
  </si>
  <si>
    <t>Baldwin, Emmett</t>
  </si>
  <si>
    <t>ADM History Refresh</t>
  </si>
  <si>
    <t>04</t>
  </si>
  <si>
    <t>Arnold, Trevor</t>
  </si>
  <si>
    <t>Green - Within Realization Date</t>
  </si>
  <si>
    <t>Red - Past Realization Date</t>
  </si>
  <si>
    <t>Due for Phase Close Status</t>
  </si>
  <si>
    <t>Due for Realization Status</t>
  </si>
  <si>
    <t>Program</t>
  </si>
  <si>
    <t>Initiative</t>
  </si>
  <si>
    <t>Planned Project Close Date</t>
  </si>
  <si>
    <t>Current Phase</t>
  </si>
  <si>
    <t>Project Id</t>
  </si>
  <si>
    <t>Percent Completion</t>
  </si>
  <si>
    <t>Percent Completion Type</t>
  </si>
  <si>
    <t>Manager</t>
  </si>
  <si>
    <t>Project Type</t>
  </si>
  <si>
    <t>Division</t>
  </si>
  <si>
    <t>Division Chargeback Code</t>
  </si>
  <si>
    <t>Actual Realization Date</t>
  </si>
  <si>
    <t>Completion Date</t>
  </si>
  <si>
    <t>Planned Completion Date</t>
  </si>
  <si>
    <t>Planned Starting Date</t>
  </si>
  <si>
    <t>Status Date</t>
  </si>
  <si>
    <t>Transfer Date</t>
  </si>
  <si>
    <t>Financial Start Date</t>
  </si>
  <si>
    <t>Last Modified Date</t>
  </si>
  <si>
    <t>Last Modified By</t>
  </si>
  <si>
    <t>Last Phase Change Date</t>
  </si>
  <si>
    <t>Email Notification Flag</t>
  </si>
  <si>
    <t>Financials Unlocked</t>
  </si>
  <si>
    <t>Keywords</t>
  </si>
  <si>
    <t>Original Idea Number</t>
  </si>
  <si>
    <t>Original Project Request Id</t>
  </si>
  <si>
    <t>Is Enabled For Finance Import / Export</t>
  </si>
  <si>
    <t>Multiple Org Hierarchies</t>
  </si>
  <si>
    <t>Project Specific Finance Lock Date</t>
  </si>
  <si>
    <t>Does Project Contribute to Finance Reporting</t>
  </si>
  <si>
    <t>Use Global Lock Month</t>
  </si>
  <si>
    <t>Finance Tracking Starting Date</t>
  </si>
  <si>
    <t>Finance Edit Mode</t>
  </si>
  <si>
    <t>Resource Computation Enabled</t>
  </si>
  <si>
    <t>Is Capitalized</t>
  </si>
  <si>
    <t>Scheduling Mode</t>
  </si>
  <si>
    <t>Lock Time</t>
  </si>
  <si>
    <t>Is MSP Integration Allowed?</t>
  </si>
  <si>
    <t>Locked By</t>
  </si>
  <si>
    <t>Lock Comments</t>
  </si>
  <si>
    <t>Program Names</t>
  </si>
  <si>
    <t>Program Ids</t>
  </si>
  <si>
    <t>Excel Template Last Modified Date</t>
  </si>
  <si>
    <t>Excel Template</t>
  </si>
  <si>
    <t>Excel Template Last Modified By</t>
  </si>
  <si>
    <t>Project Team</t>
  </si>
  <si>
    <t>Activities</t>
  </si>
  <si>
    <t>Primary Metric Name</t>
  </si>
  <si>
    <t>Project Currency</t>
  </si>
  <si>
    <t>Report Currency</t>
  </si>
  <si>
    <t>Date Range (Set 1)</t>
  </si>
  <si>
    <t>Start Month (Set 1)</t>
  </si>
  <si>
    <t>End Month (Set 1)</t>
  </si>
  <si>
    <t>Finance Dataset (Set 1)</t>
  </si>
  <si>
    <t>Date Range (Set 2)</t>
  </si>
  <si>
    <t>Start Month (Set 2)</t>
  </si>
  <si>
    <t>End Month (Set 2)</t>
  </si>
  <si>
    <t>Finance Dataset (Set 2)</t>
  </si>
  <si>
    <t>Effort-based (Actual vs. Planned Effort for All Children)</t>
  </si>
  <si>
    <t>30</t>
  </si>
  <si>
    <t>Yes</t>
  </si>
  <si>
    <t>No</t>
  </si>
  <si>
    <t>Monthly</t>
  </si>
  <si>
    <t>Semi Automatic</t>
  </si>
  <si>
    <t>NO_FILE</t>
  </si>
  <si>
    <t xml:space="preserve"> -</t>
  </si>
  <si>
    <t>USD</t>
  </si>
  <si>
    <t>Agile</t>
  </si>
  <si>
    <t>Projects</t>
  </si>
  <si>
    <t>Expenses</t>
  </si>
  <si>
    <t>Decision</t>
  </si>
  <si>
    <t>StartOptEquations</t>
  </si>
  <si>
    <t>Crystal Ball Data</t>
  </si>
  <si>
    <t>Workbook Variables</t>
  </si>
  <si>
    <t>Last Var Column</t>
  </si>
  <si>
    <t xml:space="preserve">    Name:</t>
  </si>
  <si>
    <t xml:space="preserve">    Value:</t>
  </si>
  <si>
    <t>Worksheet Data</t>
  </si>
  <si>
    <t>Last Data Column Used</t>
  </si>
  <si>
    <t>Sheet Ref</t>
  </si>
  <si>
    <t>Sheet Guid</t>
  </si>
  <si>
    <t>Deleted sheet count</t>
  </si>
  <si>
    <t>Last row used</t>
  </si>
  <si>
    <t>Data blocks</t>
  </si>
  <si>
    <t>Region</t>
  </si>
  <si>
    <t>Region Chargeback Code</t>
  </si>
  <si>
    <t>Initial Forecast Benefits</t>
  </si>
  <si>
    <t>EMEA</t>
  </si>
  <si>
    <t>20</t>
  </si>
  <si>
    <t>14</t>
  </si>
  <si>
    <t>Operations</t>
  </si>
  <si>
    <t>11</t>
  </si>
  <si>
    <t>Network Load Balancing</t>
  </si>
  <si>
    <t>Swords, Carolyn</t>
  </si>
  <si>
    <t>North America</t>
  </si>
  <si>
    <t>Receivables Dunning Upgrade</t>
  </si>
  <si>
    <t>16</t>
  </si>
  <si>
    <t>DR/BCP Annual Test</t>
  </si>
  <si>
    <t>Barnes, Heidi</t>
  </si>
  <si>
    <t>12</t>
  </si>
  <si>
    <t>Brand</t>
  </si>
  <si>
    <t>Implement ITFM</t>
  </si>
  <si>
    <t>*ERP Upgrade</t>
  </si>
  <si>
    <t>Content Management</t>
  </si>
  <si>
    <t>Data</t>
  </si>
  <si>
    <t>Data to Voice / Voice to Data</t>
  </si>
  <si>
    <t>eSignatures Solution</t>
  </si>
  <si>
    <t>C83 Horn R&amp;D</t>
  </si>
  <si>
    <t>On Hold</t>
  </si>
  <si>
    <t>Database Migration</t>
  </si>
  <si>
    <t>Content Management-P2</t>
  </si>
  <si>
    <t>NV2 Project</t>
  </si>
  <si>
    <t>Data Center Consolidation</t>
  </si>
  <si>
    <t>40</t>
  </si>
  <si>
    <t>Project Mix by Business Unit</t>
  </si>
  <si>
    <t>Portfolio Summary</t>
  </si>
  <si>
    <t>Surplus/Shortage</t>
  </si>
  <si>
    <t>Finance Template</t>
  </si>
  <si>
    <t>Which Snapshot For Plan Data (Set 1)</t>
  </si>
  <si>
    <t>Which Snapshot For Plan Data (Set 2)</t>
  </si>
  <si>
    <t>Assign Team</t>
  </si>
  <si>
    <t>US Dollar</t>
  </si>
  <si>
    <t>Project on track</t>
  </si>
  <si>
    <t>SaaS solution</t>
  </si>
  <si>
    <t>The cost of this solution will provide benefits.</t>
  </si>
  <si>
    <t>Several Business Units, not just IT</t>
  </si>
  <si>
    <t>None</t>
  </si>
  <si>
    <t>Consistency</t>
  </si>
  <si>
    <t>Working with multiple vendors on selection</t>
  </si>
  <si>
    <t>Decide on solution, architect the best solution and deploy with training.</t>
  </si>
  <si>
    <t>We need a better way to aggregate and share project information and roll it up to the portfolio.</t>
  </si>
  <si>
    <t>PM Template Refresh - EMEA</t>
  </si>
  <si>
    <t>New</t>
  </si>
  <si>
    <t>All Business Units</t>
  </si>
  <si>
    <t>PM Template Refresh - South America</t>
  </si>
  <si>
    <t>DPMO</t>
  </si>
  <si>
    <t>DMAIC</t>
  </si>
  <si>
    <t>PM Template Refresh - North America</t>
  </si>
  <si>
    <t>Team Assigned</t>
  </si>
  <si>
    <t>We need to be sure we can find documents when needed.</t>
  </si>
  <si>
    <t>Many Business Units</t>
  </si>
  <si>
    <t>Bring all documents together in a central repository, create and execute a backup/DR plan, organize documents by department.</t>
  </si>
  <si>
    <t>Increased Efficiency</t>
  </si>
  <si>
    <t>Working with documentation consultant</t>
  </si>
  <si>
    <t>Documents are everywhere and in every status.</t>
  </si>
  <si>
    <t>Internal Documentation Review</t>
  </si>
  <si>
    <t>Ives, Victoria</t>
  </si>
  <si>
    <t>Shop Floor Kaizen</t>
  </si>
  <si>
    <t>Electronics</t>
  </si>
  <si>
    <t>Anderson, Dana</t>
  </si>
  <si>
    <t>Market Share</t>
  </si>
  <si>
    <t>Meteor GPS</t>
  </si>
  <si>
    <t>Vincett, Maxine</t>
  </si>
  <si>
    <t>PPM Solution</t>
  </si>
  <si>
    <t>We will receive a lot more good ideas.</t>
  </si>
  <si>
    <t>PMO</t>
  </si>
  <si>
    <t>Create and deploy an Idea portal to the PPM solution</t>
  </si>
  <si>
    <t>Web access</t>
  </si>
  <si>
    <t>All employees could submit ideas.</t>
  </si>
  <si>
    <t>Our current PPM solution offers this as a solution</t>
  </si>
  <si>
    <t>Create an idea portal to our PPM solution.</t>
  </si>
  <si>
    <t>We need an easy way for all employees and maybe even customers to submit idess.</t>
  </si>
  <si>
    <t>New Project Idea Portal</t>
  </si>
  <si>
    <t>Williams, John</t>
  </si>
  <si>
    <t>Approve/Reject</t>
  </si>
  <si>
    <t>Quote to Order Process Improvement</t>
  </si>
  <si>
    <t>Cust Req</t>
  </si>
  <si>
    <t>Corporate internet</t>
  </si>
  <si>
    <t>All Company</t>
  </si>
  <si>
    <t>Create and deploy the new Order Entry banner page.</t>
  </si>
  <si>
    <t>HR Website Upgrade</t>
  </si>
  <si>
    <t>Improved Communication</t>
  </si>
  <si>
    <t>The Order Entry banner needs to be refreshed.</t>
  </si>
  <si>
    <t>ITIL</t>
  </si>
  <si>
    <t>Order Entry Banner Update</t>
  </si>
  <si>
    <t>Hours</t>
  </si>
  <si>
    <t>Project awaiting approval</t>
  </si>
  <si>
    <t>ERP website</t>
  </si>
  <si>
    <t>This will be a replacement for the current home page</t>
  </si>
  <si>
    <t>Not identified yet</t>
  </si>
  <si>
    <t>Design and implement a new ERP home page</t>
  </si>
  <si>
    <t>The ERP home page is outdated and not drawing the attention needed for employee communications</t>
  </si>
  <si>
    <t>HR Home Page Update</t>
  </si>
  <si>
    <t>Several Business Units</t>
  </si>
  <si>
    <t>Greater communications
Greater satisfaction</t>
  </si>
  <si>
    <t>ERP Home Page Update</t>
  </si>
  <si>
    <t>Create and deploy the new HR Homepage banner page.</t>
  </si>
  <si>
    <t>The HR Homepage banner needs to be refreshed.</t>
  </si>
  <si>
    <t>HR Homepage Banner Update</t>
  </si>
  <si>
    <t>RFP issued.</t>
  </si>
  <si>
    <t>HR System
Database servers
Network</t>
  </si>
  <si>
    <t>We can find an acceptable solution.</t>
  </si>
  <si>
    <t>Sponsored by VP of HR</t>
  </si>
  <si>
    <t>Select, architect, plan, and implement an HR Systems Upgrade to the current version</t>
  </si>
  <si>
    <t>Data Center Consolidation project completion</t>
  </si>
  <si>
    <t>New HR system will reduce costs, increase efficiency and increase user satifaction</t>
  </si>
  <si>
    <t>The HR application supplier has convinced us of the cost savings and communications improvement with an upgrade.</t>
  </si>
  <si>
    <t>The current HR system has become outmoded and needs an upgrade to bring processes to current standards.</t>
  </si>
  <si>
    <t>HR Systems Upgrade</t>
  </si>
  <si>
    <t>Improved brand recognition
Increased Sales</t>
  </si>
  <si>
    <t>What is needed can be done with current technology.</t>
  </si>
  <si>
    <t>Marketing</t>
  </si>
  <si>
    <t>Architect, build, and deploy a new corporate website with the latest technology.</t>
  </si>
  <si>
    <t>Downstream - Data Center Upgrade</t>
  </si>
  <si>
    <t>Bring in more customers
More customer satisfaction
More efficiency
Lower cost to maintain</t>
  </si>
  <si>
    <t>This project will be done in coordination and cooperation with our website partner</t>
  </si>
  <si>
    <t>Update the design and functionality of the web site to properly reflect the titan product experience and enhance our brand online to match the way we present it in our customers.</t>
  </si>
  <si>
    <t>The cureent website is outdated and is not pulling in many potential customers.</t>
  </si>
  <si>
    <t>West Campus Wireless Upgrade</t>
  </si>
  <si>
    <t>Use in What-If?</t>
  </si>
  <si>
    <t>Next Action</t>
  </si>
  <si>
    <t>Product Line</t>
  </si>
  <si>
    <t>Currency Code</t>
  </si>
  <si>
    <t>Creator</t>
  </si>
  <si>
    <t>Comments</t>
  </si>
  <si>
    <t>Charter Approved</t>
  </si>
  <si>
    <t>Estimated Duration</t>
  </si>
  <si>
    <t>Primary Metric Type</t>
  </si>
  <si>
    <t>Status</t>
  </si>
  <si>
    <t>Project ID</t>
  </si>
  <si>
    <t>Planned Project Start Date</t>
  </si>
  <si>
    <t>Planned Realization Date</t>
  </si>
  <si>
    <t>Created Date</t>
  </si>
  <si>
    <t>Actual Project Start Date</t>
  </si>
  <si>
    <t>Accepted Date</t>
  </si>
  <si>
    <t>Accepted By</t>
  </si>
  <si>
    <t>Sales</t>
  </si>
  <si>
    <t>Corporate</t>
  </si>
  <si>
    <t>Improve coating processes</t>
  </si>
  <si>
    <t>Development</t>
  </si>
  <si>
    <t>Poly Soft Box To Aid in DME Shipping</t>
  </si>
  <si>
    <t>Accounts Payable  Pick List</t>
  </si>
  <si>
    <t>Customer Order Software Upgrade</t>
  </si>
  <si>
    <t>On Time Delivery Rate (%)</t>
  </si>
  <si>
    <t>DMADV</t>
  </si>
  <si>
    <t>Conveyor Belt Saftety Improvements</t>
  </si>
  <si>
    <t>North Campus Wireless Upgrade</t>
  </si>
  <si>
    <t>Improve Receiving Inspection Hardware</t>
  </si>
  <si>
    <t>Days</t>
  </si>
  <si>
    <t>Euro</t>
  </si>
  <si>
    <t>Improve Overnight Software backup</t>
  </si>
  <si>
    <t>Saturn DX</t>
  </si>
  <si>
    <t>Update Security Access to HV Area</t>
  </si>
  <si>
    <t>The current HV area has not had a security update for years and has just failed a security audit.  An update is called for.</t>
  </si>
  <si>
    <t>Architect and implement a security update for access to the HV area.</t>
  </si>
  <si>
    <t>Working with our security partner</t>
  </si>
  <si>
    <t>Greater security in the HV area</t>
  </si>
  <si>
    <t>We have the technology and skills to make the update</t>
  </si>
  <si>
    <t>HV Systems</t>
  </si>
  <si>
    <t>Awaiting approval.</t>
  </si>
  <si>
    <t>Pegasus Inventory Solution</t>
  </si>
  <si>
    <t>Applications</t>
  </si>
  <si>
    <t>Automated Intravenous Pump</t>
  </si>
  <si>
    <t>17</t>
  </si>
  <si>
    <t>LQU vial cover</t>
  </si>
  <si>
    <t>Pharmaceutical</t>
  </si>
  <si>
    <t>13</t>
  </si>
  <si>
    <t>*Wiring Routing Change</t>
  </si>
  <si>
    <t>Create and replace the current 8120 wiring harness with an affordable solution to address this need.</t>
  </si>
  <si>
    <t>The new harness will have more failure.
We won't have a real-world test environment.
The new harness will cost too much.</t>
  </si>
  <si>
    <t>Improved product quality, customer satisfaction and returns</t>
  </si>
  <si>
    <t>In order to grow Logic Unit marketshare, we will have to have a more reliable product and raise customer satisfaction.  The replacement of the current wiring harness with a new harness should increase confidence in our product line and increase sales.</t>
  </si>
  <si>
    <t>Cavity size for the wiring harness.</t>
  </si>
  <si>
    <t>All looked at with none acceptable.</t>
  </si>
  <si>
    <t>For the duration of the project, we will need a PM, Electrical Engineer, Mechanical Engineer, and Tester.</t>
  </si>
  <si>
    <t>We can develop the needed harness with the cavity constraints.</t>
  </si>
  <si>
    <t>Roundabout Kart</t>
  </si>
  <si>
    <t>As the baby-boomer generation ages, there will be more need for mobility aides.  This cart will provide that solution.</t>
  </si>
  <si>
    <t>A mobility cart with the abilit to turn in its length and lift when needed.</t>
  </si>
  <si>
    <t>Squeeze Bulb Regulator</t>
  </si>
  <si>
    <t>Spot Remover bleach based from squeeze bottle</t>
  </si>
  <si>
    <t>Packing Material Weight Reduction</t>
  </si>
  <si>
    <t>Order to Ship Process Improvement</t>
  </si>
  <si>
    <t>Monnson, Kevin</t>
  </si>
  <si>
    <t>Benefits</t>
  </si>
  <si>
    <t>Current Status</t>
  </si>
  <si>
    <t>Optimal Status</t>
  </si>
  <si>
    <t>All Projects</t>
  </si>
  <si>
    <t># of Projects</t>
  </si>
  <si>
    <t>Count</t>
  </si>
  <si>
    <t>%</t>
  </si>
  <si>
    <t>Label</t>
  </si>
  <si>
    <t>Suggested Projects</t>
  </si>
  <si>
    <t>Available Budget</t>
  </si>
  <si>
    <t>R1</t>
  </si>
  <si>
    <t>R19</t>
  </si>
  <si>
    <t>Total Expenses</t>
  </si>
  <si>
    <t>Latest Update</t>
  </si>
  <si>
    <t>Approved</t>
  </si>
  <si>
    <t>Create Project</t>
  </si>
  <si>
    <t>Victor 512</t>
  </si>
  <si>
    <t>Project Created</t>
  </si>
  <si>
    <t>Supply Chain Parts Project</t>
  </si>
  <si>
    <t>The market is trending toward covers for the stent to protect it during insertion and use.</t>
  </si>
  <si>
    <t>If we create a market-ready stent cover, we could capture the market ahead of the competition</t>
  </si>
  <si>
    <t>Create a market-ready cover for the stent that is best in class at a reasonable cost.</t>
  </si>
  <si>
    <t>Battery Drain/Charge Cycle Project</t>
  </si>
  <si>
    <t>Defects</t>
  </si>
  <si>
    <t>Defects Per Unit (u)</t>
  </si>
  <si>
    <t>The market needs a set-top DVR to handle the new HDTV format.</t>
  </si>
  <si>
    <t>Develop, build, and ship a new DVR handling the new HDTV format</t>
  </si>
  <si>
    <t>Development may take too long.</t>
  </si>
  <si>
    <t>Develop, build, and ship a new DVR handling the new HDTV format. Such as box would bring a large ROI to our company</t>
  </si>
  <si>
    <t>Components.</t>
  </si>
  <si>
    <t>Project on track.</t>
  </si>
  <si>
    <t>Inseam coating processes</t>
  </si>
  <si>
    <t>The current walkers aren't rolling and don't have built in reach bar. Market research has shown these are needs unmet by the available products.</t>
  </si>
  <si>
    <t>Develop and market a rolling walker with reach bar option.</t>
  </si>
  <si>
    <t>We won't be first to the market with this product.</t>
  </si>
  <si>
    <t>Project on track for April release.</t>
  </si>
  <si>
    <t>Currently, we aren't collecting any data on the customer experience with our sales team or through the Internet.</t>
  </si>
  <si>
    <t>Architect and implement a solution this year.</t>
  </si>
  <si>
    <t>Partners and vendors will be used as needed to help deliver the highest quality solution.</t>
  </si>
  <si>
    <t>Data servers
Application server
Website
Network</t>
  </si>
  <si>
    <t>Architect and implement a Customer Experience Management to collect, analyze, and report on all outbound marketing efforts including the company website.</t>
  </si>
  <si>
    <t>We have looked at Make or Buy solutions and the costs/benefits of both.</t>
  </si>
  <si>
    <t>We already have the building blocks of an acceptable solution.
We have the skills.
We have the technology and architecture to support this solution.</t>
  </si>
  <si>
    <t>The benefit of making this solution in-house is controlling the analysis and output.  We also have many skilled developers in this area.</t>
  </si>
  <si>
    <t>Piloting solution for acceptance</t>
  </si>
  <si>
    <t>One of our customers has requested Microflakes as one of their raw material items needed for production. We make the Cellulose Acetate Microflakes as a byproduct of our production and could easily develop this market.</t>
  </si>
  <si>
    <t>Package and sell our normal production byproduct, Cellulose Acetate Microflakes as a new product line.</t>
  </si>
  <si>
    <t>One of our current competitors will be able to beat us to the marketplace.</t>
  </si>
  <si>
    <t>We make Cellulose Acetate Microflakes as a normal byproduct of our production line.</t>
  </si>
  <si>
    <t>Package and sell our normal production byproduct, Cellulose Acetate Microflakes as a new product line. The market is already in place and we will just fill the orders initially and later grow the market.</t>
  </si>
  <si>
    <t>Product Manager, Project Manager, Architect.</t>
  </si>
  <si>
    <t>Working with procurement for consistent quality delivery of raw materials.</t>
  </si>
  <si>
    <t>The Receiveables Dunning is very out of date and causing problems througout the system. An upgrade would help with vendor support, provide more efficiency and lower cost of maintenance.</t>
  </si>
  <si>
    <t>Architect, pilot, test, and upgrade the Receivables Dunning solution.</t>
  </si>
  <si>
    <t>Working with our Dunning vendor</t>
  </si>
  <si>
    <t>Database servers Application Servers</t>
  </si>
  <si>
    <t>Network upgrade Data Center Consolidation</t>
  </si>
  <si>
    <t>Architect, pilot, test, and upgrade the Receivables Dunning solution</t>
  </si>
  <si>
    <t>An upgrade will improve performance An upgrade will be cost effective and lower TCO</t>
  </si>
  <si>
    <t>An upgrade would help with vendor support, provide more efficiency and lower cost of maintenance.</t>
  </si>
  <si>
    <t>Dunning server needs to be replaced as it failed during an OS upgrade attempt. Project will get back on track once the server is replace.</t>
  </si>
  <si>
    <t>The network is not load balanced and experiences overloading in some legs during operation.</t>
  </si>
  <si>
    <t>Architect and implement a load-balancing solution for all networks</t>
  </si>
  <si>
    <t>Working with network vendor for the latest updates and any recommendations</t>
  </si>
  <si>
    <t>All network systems</t>
  </si>
  <si>
    <t>Data Center Consolidation project</t>
  </si>
  <si>
    <t>Architect and implement a load-balancing solution for all networks.</t>
  </si>
  <si>
    <t>Our infrastructre can handle the balancing.</t>
  </si>
  <si>
    <t>Increase efficiencies Better response time</t>
  </si>
  <si>
    <t>Edge routers will need to be upgraded as part of this project.</t>
  </si>
  <si>
    <t>Trailer Operations Work Flow</t>
  </si>
  <si>
    <t>The HR system needs a more updated UI</t>
  </si>
  <si>
    <t>Design and develop a new UI for the HR system</t>
  </si>
  <si>
    <t>HR Application</t>
  </si>
  <si>
    <t>HR Application upgrade</t>
  </si>
  <si>
    <t>Higher Customer Satisfaction
More usage of the solution</t>
  </si>
  <si>
    <t>The ADM database needs to have a history refresh to make it of use to Marketing and HR-Personnel.</t>
  </si>
  <si>
    <t>Architect and implement a ADM history refresh</t>
  </si>
  <si>
    <t>Data servers</t>
  </si>
  <si>
    <t>Architect and implement a ADM history refresh.</t>
  </si>
  <si>
    <t>Architect and implement a solution this year</t>
  </si>
  <si>
    <t>None apparent</t>
  </si>
  <si>
    <t>We already have the building blocks of an acceptable solution. We have the skills. We have the technology and architecture to support this solution.</t>
  </si>
  <si>
    <t>A refreshed ADM database would have great value to marketing and to personnel.</t>
  </si>
  <si>
    <t>The team is falling behind due to lack of test personnel.  This issue has been escalated.</t>
  </si>
  <si>
    <t>Market research has shown if a 3D LED TV were developed, it would sell widely to the home theater market.</t>
  </si>
  <si>
    <t>Design and produce a 3D LED TV for the home theater market</t>
  </si>
  <si>
    <t>The market research may be overstated. The economy may not be in the recovery stated.</t>
  </si>
  <si>
    <t>This would be the first 3D LED TV in the market</t>
  </si>
  <si>
    <t>A 3D LED TV with in different size formats would sell well to the home theater market.</t>
  </si>
  <si>
    <t>None found</t>
  </si>
  <si>
    <t>New wiring harness needs to be designed to match new cabinet.</t>
  </si>
  <si>
    <t>If we were to centralize all databases into one location with a hot-site backup, we could reduce a lot of expenses and increase efficiency though better personnel and hardware utilization.</t>
  </si>
  <si>
    <t>Architect, build, and migrate data to main site and hot-site backup.</t>
  </si>
  <si>
    <t>Recommendations to be received by XYZ Consultant Company. Vendors to provide product demonstrations and quotes for Partner or vendor based implementation models.</t>
  </si>
  <si>
    <t>None required</t>
  </si>
  <si>
    <t>Hot-site communications are working properly. DR/BCP procedures are set up and working.</t>
  </si>
  <si>
    <t>Reduce expenses Increase efficiencies Increase hardware utilization</t>
  </si>
  <si>
    <t>Project schedule behind awaiting DR/BCP update and testing</t>
  </si>
  <si>
    <t>The issue is the Arc Handsets are now to large for use effectively.</t>
  </si>
  <si>
    <t>The goal of this project is to architect and develop a Smaller Arc Handset.</t>
  </si>
  <si>
    <t>TBD</t>
  </si>
  <si>
    <t>Architect, develop, and deploy the smaller arc handset.</t>
  </si>
  <si>
    <t>We will be first to market</t>
  </si>
  <si>
    <t>We would be first to market</t>
  </si>
  <si>
    <t>Centralize ERP functions into one global application. Currently, all departments are managing resources separately, even though numerous resources are shared. New solution will assist in assigning, monitoring and optimizing resource pool.</t>
  </si>
  <si>
    <t>Due to downsizing, resource management and assignments have become much more critical due to strict alignment and adherence to strategic objectives</t>
  </si>
  <si>
    <t>Due to downsizing, resource management and assignments have become much more critical due to strict alignment and adherence to strategic objectives.</t>
  </si>
  <si>
    <t>Budget of less than $1.25M. New ERP system must integrate with current financial software and PPM solution.</t>
  </si>
  <si>
    <t>Optimized resource pools to be shared across business units. Overall resource utilization and availability reporting requirements to be shared with departmental managers.</t>
  </si>
  <si>
    <t>This is a critical improvement to our internal operations, and selection of the appropriate tool is critical to ongoing operations and resource pool optimization.</t>
  </si>
  <si>
    <t>Discover, select, approve, and convert all microfiche storage to a more modern mode of storage.</t>
  </si>
  <si>
    <t>Working with a storage partner</t>
  </si>
  <si>
    <t>Data Servers Application Servers</t>
  </si>
  <si>
    <t>Data Center Consolidation Project</t>
  </si>
  <si>
    <t>All current microfiche is accessible.</t>
  </si>
  <si>
    <t>Increased efficiencies Decreased Costs</t>
  </si>
  <si>
    <t>The marketplace needs a 61" LED HDTV for sale at a reasonable price.</t>
  </si>
  <si>
    <t>To design, build, and deliver a 61" HDTV to the marketplace in 2011</t>
  </si>
  <si>
    <t>We won't be first to market</t>
  </si>
  <si>
    <t>First to market with a HDTV with these features.</t>
  </si>
  <si>
    <t>To design, build, and deliver a 61" HDTV to the marketplace in 2011. If first to market, we expect a 50+ ROI and high demand for the product.</t>
  </si>
  <si>
    <t>Screen components</t>
  </si>
  <si>
    <t>Perform a DR/BCP test per the documented process</t>
  </si>
  <si>
    <t>We are using our DR/BCP partner to assist and analyze the outcome of this test</t>
  </si>
  <si>
    <t>We can pass this test with the documented procedures.</t>
  </si>
  <si>
    <t>Disaster Recovery/Business Continuity Planning process documented and ready for test.</t>
  </si>
  <si>
    <t>The market research may be overstated. The economy may not be in the recovery stated</t>
  </si>
  <si>
    <t>Finding screen components may be a challenge.</t>
  </si>
  <si>
    <t>Best of breed picture delivery for this market size.</t>
  </si>
  <si>
    <t>Working with vendor on more reliable component delivery.</t>
  </si>
  <si>
    <t>Current customers have asked for an upgrade to the current Techny Force Flex.</t>
  </si>
  <si>
    <t>Design, develop, and introduce the Techny Force Flex II into the product line</t>
  </si>
  <si>
    <t>Lack of sufficient parts suppliers.</t>
  </si>
  <si>
    <t>This is a customer driven product and should meet the needs of customers</t>
  </si>
  <si>
    <t>Supply for parts.</t>
  </si>
  <si>
    <t>Full product development team.</t>
  </si>
  <si>
    <t>Project on track.  Working on vendors for parts.</t>
  </si>
  <si>
    <t>Need a better packaging solution for the new pill line</t>
  </si>
  <si>
    <t>Design and develop a better packaging solution for the new pill line</t>
  </si>
  <si>
    <t>Have looked at all vendor solutions and have decided to create our own solution</t>
  </si>
  <si>
    <t>We can get raw materials needed.</t>
  </si>
  <si>
    <t>We would have a more reliable supply of high quality packages</t>
  </si>
  <si>
    <t>Working with suppliers on a better source for raw materials.</t>
  </si>
  <si>
    <t>We have no automated Agent tools and these are needed for correct data capture and revenue creation</t>
  </si>
  <si>
    <t>Architect, pilot, test, and deploy an Agent Reporting Tool.</t>
  </si>
  <si>
    <t>Working with Agent reporting tool vendor.</t>
  </si>
  <si>
    <t>Application Server Data Server</t>
  </si>
  <si>
    <t>Architect, pilot, test, and deploy an Agent Reporting Tool</t>
  </si>
  <si>
    <t>Make or Buy</t>
  </si>
  <si>
    <t>This will improve communications</t>
  </si>
  <si>
    <t>We would be creating an automated tool. Data created and captured from this tool can be used for multiple benefits.</t>
  </si>
  <si>
    <t>Project behind due to technology refresh.  Working with vendor to catch up.</t>
  </si>
  <si>
    <t>Much of our data is dispersed to many servers, is not indexed or matched with metatags and is hard to find when needed.</t>
  </si>
  <si>
    <t>Architect a content management solution including the re-tagging of much of our content, re-indexing, and deployment of data standards</t>
  </si>
  <si>
    <t>Working with ACME Data for best practices</t>
  </si>
  <si>
    <t>All shared drives and data servers</t>
  </si>
  <si>
    <t>We can locate all mission-critical data on servers</t>
  </si>
  <si>
    <t>Increase efficiency, lower costs, better data access</t>
  </si>
  <si>
    <t>Project will be taken off hold once the resources are freed up from other projects.</t>
  </si>
  <si>
    <t>Update for GL Journal Transfer</t>
  </si>
  <si>
    <t>The General Ledger Journal Transfer process is very slow and needs an update.</t>
  </si>
  <si>
    <t>Architect, develop, and deploy a new GL Journal Transfer solution</t>
  </si>
  <si>
    <t>Working with our GL partner</t>
  </si>
  <si>
    <t>Application servers Corporate website</t>
  </si>
  <si>
    <t>Data Center Upgrade project</t>
  </si>
  <si>
    <t>Architect, develop, and deploy an eSignature solution</t>
  </si>
  <si>
    <t>The GL as it has been architecte and implemented will be used for the near future</t>
  </si>
  <si>
    <t>Increased efficiency 
Higher revenue because we are easier to do business with</t>
  </si>
  <si>
    <t>Working with our eSig partner</t>
  </si>
  <si>
    <t>eSignatures will be used for the near future</t>
  </si>
  <si>
    <t>Increased efficiency Higher revenue because we are easier to do business with</t>
  </si>
  <si>
    <t>Recommendations to be received by XYZ Consultant Company. Vendors to provide product demonstrations and quotes for Partner or vendor based implementation models</t>
  </si>
  <si>
    <t>Project schedule behind awaiting DR/BCP update and testing.</t>
  </si>
  <si>
    <t>Currently, we have no way to capture and report on Net Value of all products in our line.</t>
  </si>
  <si>
    <t>Architect and implement a Net Value solution to collect, analyze, and report on all products company-wide.</t>
  </si>
  <si>
    <t>Partners and vendors will be used as needed to help deliver the highest quality solution</t>
  </si>
  <si>
    <t>The benefit of making this solution in-house is controlling the analysis and output. We also have many skilled developers in this area.</t>
  </si>
  <si>
    <t>Project on track for scheduled deployment</t>
  </si>
  <si>
    <t>Various alternatives piloted.</t>
  </si>
  <si>
    <t>Develop, build, and ship a new DVR handling the new HDTV format. Such as box would bring a large ROI to our company.</t>
  </si>
  <si>
    <t>Components</t>
  </si>
  <si>
    <t>Defective mounting brack causing problems.  Working with vendor to rectify.</t>
  </si>
  <si>
    <t>A new storage container is needed for the new pharma product line.</t>
  </si>
  <si>
    <t>Design and manufacture acceptable container.</t>
  </si>
  <si>
    <t>Storage capacity for new product.</t>
  </si>
  <si>
    <t>Buy.  Already discovered shortfalls.</t>
  </si>
  <si>
    <t>Reliable supply of new containers.</t>
  </si>
  <si>
    <t>New shape being developed to handle current product line.</t>
  </si>
  <si>
    <t>A better injection delivery system is needed if we are to be able to deliver products in developing countries.</t>
  </si>
  <si>
    <t>Develop, package, and sell a simple injection delivery system.</t>
  </si>
  <si>
    <t>The easier delivery system will increase sale of our projects abroad.</t>
  </si>
  <si>
    <t>Third-world and developing countries.</t>
  </si>
  <si>
    <t>Architect, configure, and deploy a new solution.</t>
  </si>
  <si>
    <t>Working with Horn vendor.</t>
  </si>
  <si>
    <t>The new solution will provide the expected ROI</t>
  </si>
  <si>
    <t>Project on track with the normal resource constraints.</t>
  </si>
  <si>
    <t>Many customers have asked for a modification to the Pyxis MD delivery system to allow override in case of an emergency.</t>
  </si>
  <si>
    <t>Design and develop an override system meeting the customer specifications.  This solution will also have to meet regulatory requirements and inspection.</t>
  </si>
  <si>
    <t>The modifications will be too expensive to manage</t>
  </si>
  <si>
    <t>We are competing heavily with OmniCell and this should give us a competitive advantage</t>
  </si>
  <si>
    <t>In dealing with our customers, we have found there has to be a better way to capture requirements without the errors we have had in the past. We also need to be able to provide vocal feedback to customer from the data we have gathered.</t>
  </si>
  <si>
    <t>The goal of this project is to architect, develop, and deploy a voice to data/data to voice technology to aid requirements gathering and feedback.</t>
  </si>
  <si>
    <t>We will enlist the help of our IVR solution provider as a base for this product</t>
  </si>
  <si>
    <t>Purchasing a solution has been ruled out as too expensive. We couldn't find the features we desired.</t>
  </si>
  <si>
    <t>We can use open source as a base for development We have the knowledge needed We can deploy this solution on our current infrastructure</t>
  </si>
  <si>
    <t>This solution would aid in communications, avoid mistakes, and incease customer satisfaction</t>
  </si>
  <si>
    <t>Project slipping due to change in resource focus. Resources will be available again in Q4.</t>
  </si>
  <si>
    <t>Develop New Module-Agile</t>
  </si>
  <si>
    <t>The current finance module is not working well and needs to be replaced</t>
  </si>
  <si>
    <t>Create a new finance module and replace the existing.</t>
  </si>
  <si>
    <t>Schedule</t>
  </si>
  <si>
    <t>Department</t>
  </si>
  <si>
    <t>Department Chargeback Code</t>
  </si>
  <si>
    <t>Customer</t>
  </si>
  <si>
    <t>Customer Chargeback Code</t>
  </si>
  <si>
    <t>Initial Forecast Cost</t>
  </si>
  <si>
    <t>Initial Forecast Soft Dollar</t>
  </si>
  <si>
    <t>Initial Forecast Group4</t>
  </si>
  <si>
    <t>Initial Forecast Group5</t>
  </si>
  <si>
    <t>Initial Forecast Total</t>
  </si>
  <si>
    <t>Spend</t>
  </si>
  <si>
    <t>6</t>
  </si>
  <si>
    <t>Information Technology</t>
  </si>
  <si>
    <t>PMBOK-Short</t>
  </si>
  <si>
    <t>Info Tech</t>
  </si>
  <si>
    <t>NA</t>
  </si>
  <si>
    <t>Plan/Design-Short</t>
  </si>
  <si>
    <t>5</t>
  </si>
  <si>
    <t>Grow</t>
  </si>
  <si>
    <t>IT CapEx/OpEx Finance Template-Bottom Up</t>
  </si>
  <si>
    <t>7</t>
  </si>
  <si>
    <t>Apps</t>
  </si>
  <si>
    <t>Global</t>
  </si>
  <si>
    <t xml:space="preserve">
Project Manager: Allen, Vanessa: pilot+vallen@oracle.com
Consultant: Devlen, Paula: pilot+pdevlen@oracle.com
Architect: Edwards, James: pilot+jedwards@oracle.com
Analyst: Coveney, Brian: pilot+bcoveney@oracle.com
Developer: Griffey, Kerry: pilot+kgriffey@oracle.com
Project Sponsor: Parsons, Alan: pilot+aparsons@oracle.com
Architect: Drew, Nancy: pilot+ndrewit@oracle.com
Developer: Owens, Tom: pilot+towens@oracle.com
</t>
  </si>
  <si>
    <t>Neal, Ryan</t>
  </si>
  <si>
    <t>Engineering</t>
  </si>
  <si>
    <t xml:space="preserve">
Project Manager: Neal, Ryan: pilot+roneal@oracle.com
Architect: Drew, Nancy: pilot+ndrewit@oracle.com
Analyst: Jackson, Lauren: pilot+ljackson@oracle.com
Developer: Qualle, Rita: pilot+rqualle@oracle.com
Graphics Designer: Griffey, Kerry: pilot+kgriffey@oracle.com
QA/QC: Bryant, Mark: pilot+Mark.O'Bryant@oracle.com
Project Sponsor: Summers, Peter: pilot+psummers@oracle.com
</t>
  </si>
  <si>
    <t>9</t>
  </si>
  <si>
    <t xml:space="preserve">
Project Manager: Baldwin, Emmett: pilot+ebaldwin@oracle.com
DBA: France, Kevin: pilot+kfrance@oracle.com
Security Engineer: Bryant, Mark: pilot+Mark.O'Bryant@oracle.com
Project Sponsor: Parsons, Alan: pilot+aparsons@oracle.com
</t>
  </si>
  <si>
    <t>Run</t>
  </si>
  <si>
    <t>Ferguson, Bruce</t>
  </si>
  <si>
    <t>Prince2</t>
  </si>
  <si>
    <t>31</t>
  </si>
  <si>
    <t xml:space="preserve">
Project Manager: Ferguson, Bruce: pilot+bferguson@oracle.com
Consultant: Devlen, Paula: pilot+pdevlen@oracle.com
Architect: Edwards, James: pilot+jedwards@oracle.com
DBA: Dixon, Mike: pilot+mdixon@oracle.com
Developer: Florian, Louis: pilot+lflorian@oracle.com
Project Sponsor: Adams, Don: pilot+dadams@oracle.com
</t>
  </si>
  <si>
    <t>21</t>
  </si>
  <si>
    <t xml:space="preserve">
Project Manager: Allen, Vanessa: pilot+vallen@oracle.com
Developer: Roche, Alan: pilot+aroche@oracle.com
Analyst: Bird, Sue: pilot+sbirdit@oracle.com
Developer: Florian, Louis: pilot+lflorian@oracle.com
QA/QC: Bryant, Mark: pilot+Mark.O'Bryant@oracle.com
Security Engineer: Bryant, Mark: pilot+Mark.O'Bryant@oracle.com
Web Developer: Warner, Stuart: pilot+swrner@oracle.com
Project Sponsor: Summers, Peter: pilot+psummers@oracle.com
</t>
  </si>
  <si>
    <t>Transform</t>
  </si>
  <si>
    <t>75</t>
  </si>
  <si>
    <t>Network</t>
  </si>
  <si>
    <t>Execute/Control-Short</t>
  </si>
  <si>
    <t xml:space="preserve">
Project Manager: Arnold, Trevor: pilot+tarnold@oracle.com
Architect: Devlen, Paula: pilot+pdevlen@oracle.com
Network Engineer: Branch, Alan: pilot+abranch@oracle.com
Project Sponsor: Summers, Peter: pilot+psummers@oracle.com
</t>
  </si>
  <si>
    <t>41</t>
  </si>
  <si>
    <t>35</t>
  </si>
  <si>
    <t xml:space="preserve">
Project Manager: Forsythe, John: pilot+jforsythe@oracle.com
Architect: Boswell, Jeffrey: pilot+Jeffrey.Boswell@oracle.com
DBA: Boyce, Dorson: pilot+dboyce@oracle.com
Developer: Stromeyer, Arnie: pilot+astromeyer@oracle.com
Graphics Designer: Musial, Mark: pilot+Mark.Musial@oracle.com
Project Sponsor: Trumain, Paul: pilot+ptrumain@oracle.com
</t>
  </si>
  <si>
    <t>3</t>
  </si>
  <si>
    <t xml:space="preserve">
Project Manager: Arnold, Trevor: pilot+tarnold@oracle.com
Architect: Boswell, Jeffrey: pilot+Jeffrey.Boswell@oracle.com
Analyst: Bales, Alison: pilot+abales@oracle.com
Developer: Stromeyer, Arnie: pilot+astromeyer@oracle.com
Project Sponsor: Waterman, Penn: pilot+pwaterman@oracle.com
</t>
  </si>
  <si>
    <t>4</t>
  </si>
  <si>
    <t xml:space="preserve">
Project Manager: Baldwin, Emmett: pilot+ebaldwin@oracle.com
Analyst: Boone, Dan: pilot+dboone@oracle.com
Developer: Musial, Mark: pilot+Mark.Musial@oracle.com
Project Sponsor: Trumain, Paul: pilot+ptrumain@oracle.com
</t>
  </si>
  <si>
    <t>1</t>
  </si>
  <si>
    <t>Count-based (Completed vs. Total Count for All Children)</t>
  </si>
  <si>
    <t>Allen, Pierce</t>
  </si>
  <si>
    <t>Process</t>
  </si>
  <si>
    <t>Implementation-ITIL</t>
  </si>
  <si>
    <t xml:space="preserve">
Consultant: Brock, Raheem: pilot+rbrock@oracle.com
Project Manager: Allen, Pierce: pilot+pallen@oracle.com
Project Sponsor: Panella, Louis: pilot+lpanella@oracle.com
</t>
  </si>
  <si>
    <t>Finance</t>
  </si>
  <si>
    <t>JAPAC</t>
  </si>
  <si>
    <t xml:space="preserve">
Project Manager: Swords, Carolyn: pilot+cswords@oracle.com
DBA: Dixon, Mike: pilot+mdixon@oracle.com
Developer: Owens, Tom: pilot+towens@oracle.com
QA/QC: Florian, Louis: pilot+lflorian@oracle.com
Security Engineer: Donner, Daniel: pilot+ddonner@oracle.com
Project Sponsor: Summers, Peter: pilot+psummers@oracle.com
</t>
  </si>
  <si>
    <t>Security</t>
  </si>
  <si>
    <t>8</t>
  </si>
  <si>
    <t xml:space="preserve">
Project Manager: Barnes, Heidi: pilot+hbarnes@oracle.com
Consultant: Devlen, Paula: pilot+pdevlen@oracle.com
Architect: Devlen, Paula: pilot+pdevlen@oracle.com
Analyst: Jackson, Lauren: pilot+ljackson@oracle.com
DBA: France, Kevin: pilot+kfrance@oracle.com
Developer: Roche, Alan: pilot+aroche@oracle.com
Network Engineer: Branch, Alan: pilot+abranch@oracle.com
Security Engineer: Bryant, Mark: pilot+Mark.O'Bryant@oracle.com
Project Sponsor: Trumain, Paul: pilot+ptrumain@oracle.com
</t>
  </si>
  <si>
    <t>76</t>
  </si>
  <si>
    <t>29</t>
  </si>
  <si>
    <t>38</t>
  </si>
  <si>
    <t>LAD</t>
  </si>
  <si>
    <t xml:space="preserve">
Project Manager: Neal, Ryan: pilot+roneal@oracle.com
Project Sponsor: Summers, Peter: pilot+psummers@oracle.com
Consultant: Little, Camille: pilot+clittleit@oracle.com
DBA: Estrella, Jason: pilot+jestrella@oracle.com
Developer: Young, Earnest: pilot+eyoung@oracle.com
Analyst: Coveney, Brian: pilot+bcoveney@oracle.com
Architect: Franklin, Keith: pilot+kfranklin@oracle.com
QA/QC: Engles, Sally: pilot+sengles@oracle.com
Graphics Designer: Griffey, Kerry: pilot+kgriffey@oracle.com
</t>
  </si>
  <si>
    <t>37</t>
  </si>
  <si>
    <t>2</t>
  </si>
  <si>
    <t>15</t>
  </si>
  <si>
    <t>External</t>
  </si>
  <si>
    <t xml:space="preserve">
Project Manager: Allen, Vanessa: pilot+vallen@oracle.com
DBA: Boyce, Dorson: pilot+dboyce@oracle.com
Developer: Darsch, Nancy: pilot+ndarsch@oracle.com
QA/QC: Bryant, Mark: pilot+Mark.O'Bryant@oracle.com
Project Sponsor: Parsons, Alan: pilot+aparsons@oracle.com
</t>
  </si>
  <si>
    <t>33</t>
  </si>
  <si>
    <t>32</t>
  </si>
  <si>
    <t xml:space="preserve">
Project Manager: Swords, Carolyn: pilot+cswords@oracle.com
Network Engineer: First, David: pilot+David.First@oracle.com
Network Engineer: Branch, Alan: pilot+abranch@oracle.com
Project Sponsor: Panella, Louis: pilot+lpanella@oracle.com
</t>
  </si>
  <si>
    <t>P6</t>
  </si>
  <si>
    <t>P7</t>
  </si>
  <si>
    <t>P10</t>
  </si>
  <si>
    <t>P9</t>
  </si>
  <si>
    <t>P16</t>
  </si>
  <si>
    <t>P21</t>
  </si>
  <si>
    <t>P75</t>
  </si>
  <si>
    <t>P41</t>
  </si>
  <si>
    <t>P3</t>
  </si>
  <si>
    <t>P4</t>
  </si>
  <si>
    <t>P1</t>
  </si>
  <si>
    <t>P5</t>
  </si>
  <si>
    <t>P11</t>
  </si>
  <si>
    <t>P76</t>
  </si>
  <si>
    <t>P38</t>
  </si>
  <si>
    <t>P40</t>
  </si>
  <si>
    <t>P2</t>
  </si>
  <si>
    <t>P12</t>
  </si>
  <si>
    <t>P15</t>
  </si>
  <si>
    <t>P33</t>
  </si>
  <si>
    <t xml:space="preserve">
Project Manager: Ferguson, Bruce: pilot+bferguson@oracle.com
Consultant: Edwards, James: pilot+jedwards@oracle.com
Analyst: Anchors, Annie: pilot+aanchors@oracle.com
Project Sponsor: Waterman, Penn: pilot+pwaterman@oracle.com
Analyst: , : 
</t>
  </si>
  <si>
    <t>Problem Statement | Problem/Opportunity Statement | Project Goals/Objectives</t>
  </si>
  <si>
    <t>Expected Benefits | Project Goal/Objective | Project Goals &amp; Objectives | Project Scope</t>
  </si>
  <si>
    <t>Expected Benefits | Partner/Vendor Influence | Project Scope | Technology Required</t>
  </si>
  <si>
    <t>Competitive Landscape | Required SMEs | Systems Involved | Team Selection</t>
  </si>
  <si>
    <t>Business Needs | Expected Outcome | Target Market</t>
  </si>
  <si>
    <t>Assumptions &amp; Risks | Deployment Requirement | Deployment Requirements | SMEs Required</t>
  </si>
  <si>
    <t>Customer Sponsorship | Market Opportunity</t>
  </si>
  <si>
    <t>Dependencies | Dependencies or Regulatory Component | Dependencies or regulatory issues for this project</t>
  </si>
  <si>
    <t>Benefits to be tracked | Expected ROI (Benefits) | Risks of not doing prokect | Risks of not doing the project</t>
  </si>
  <si>
    <t>Release</t>
  </si>
  <si>
    <t>Project Source</t>
  </si>
  <si>
    <t>Customer satifaction will erode.</t>
  </si>
  <si>
    <t>Standard Calendar</t>
  </si>
  <si>
    <t>Data Driven</t>
  </si>
  <si>
    <t>*C83 Horn R&amp;D</t>
  </si>
  <si>
    <t>The current horn solution has low sales and needs a re-architecture for a better solution.</t>
  </si>
  <si>
    <t>Sales and Engineering</t>
  </si>
  <si>
    <t>Data Servers 
Application Servers</t>
  </si>
  <si>
    <t>A better horn solution will not be available</t>
  </si>
  <si>
    <t>Cont Improvement</t>
  </si>
  <si>
    <t>WIP Reduction</t>
  </si>
  <si>
    <t>Lean</t>
  </si>
  <si>
    <t>Rework Time</t>
  </si>
  <si>
    <t>Since October, there is excess work in process in final assembly. Primary characteristic to be improved is - WIP Inventory levels; as measured by - daily WIP. 80% currently over 3 days. In the Profit/Cost Center - estimated $265,000 annual savings by eliminating storage and transportation prior to final assembly..</t>
  </si>
  <si>
    <t>Available in system logs, will research availability of automated report.</t>
  </si>
  <si>
    <t>Fort Worth plant.</t>
  </si>
  <si>
    <t>Reduce daily WIP from 80% to 20%.</t>
  </si>
  <si>
    <t>Internal</t>
  </si>
  <si>
    <t>Standard team</t>
  </si>
  <si>
    <t>Hard benefit</t>
  </si>
  <si>
    <t>Customer pull</t>
  </si>
  <si>
    <t>Continuous Improvement</t>
  </si>
  <si>
    <t>*Data Center Consolidation</t>
  </si>
  <si>
    <t>Data centers will become outdated.</t>
  </si>
  <si>
    <t>*Database Migration</t>
  </si>
  <si>
    <t>Reduce expenses 
Increase efficiencies 
Increase hardware utilization</t>
  </si>
  <si>
    <t>Data problems rising</t>
  </si>
  <si>
    <t>*Develop Smaller Arc Handset</t>
  </si>
  <si>
    <t>*Implement ITFM</t>
  </si>
  <si>
    <t>PMBOK-Long</t>
  </si>
  <si>
    <t>A new financial management solution needs to be developed for IT.</t>
  </si>
  <si>
    <t>Create and deploy a new financeial management solution for IT</t>
  </si>
  <si>
    <t>Streamlined financial management</t>
  </si>
  <si>
    <t>Finance Analyst
Architect
Security Specialist</t>
  </si>
  <si>
    <t>An easy-to-use financial management solution</t>
  </si>
  <si>
    <t>Finance Department</t>
  </si>
  <si>
    <t>Finance solution is frustrating users.</t>
  </si>
  <si>
    <t>*eSignatures Solution</t>
  </si>
  <si>
    <t>We don't have an eSignature solution for online interactions. If we did, we could expedite many of the online forms.</t>
  </si>
  <si>
    <t>*DR/BCP Annual Test</t>
  </si>
  <si>
    <t>IT needs to perform a yearly Disaster Recovery/Business Continuity Planning test to ensure all facets of both plans are working and can be called on if needed.</t>
  </si>
  <si>
    <t>We won't be certified</t>
  </si>
  <si>
    <t>Planning on track</t>
  </si>
  <si>
    <t>Finance Upgrade</t>
  </si>
  <si>
    <t>Budget of less than $700K. New ERP system must integrate with current financial software and PPM solution.</t>
  </si>
  <si>
    <t>ERP solution becoming outdated</t>
  </si>
  <si>
    <t>Bugs</t>
  </si>
  <si>
    <t>Bugs Reported</t>
  </si>
  <si>
    <t>More appealing website</t>
  </si>
  <si>
    <t>Graphics and Web designers</t>
  </si>
  <si>
    <t>Cleaner, more user friendly interface</t>
  </si>
  <si>
    <t>Use of the website will decrease</t>
  </si>
  <si>
    <t>Smith, John</t>
  </si>
  <si>
    <t>better connectivity</t>
  </si>
  <si>
    <t>Architect, develop, and deploy a voice to data/data to voice solution.  We can use open source as a base for development We have the knowledge needed We can deploy this solution on our current infrastructure</t>
  </si>
  <si>
    <t>Web</t>
  </si>
  <si>
    <t>*Develop New Module-Agile</t>
  </si>
  <si>
    <t>More efficiency and higher satisfaction</t>
  </si>
  <si>
    <t>A new finance module will replace the existing.</t>
  </si>
  <si>
    <t>The current solution will start developing issues.</t>
  </si>
  <si>
    <t>Module being developed for test.  New module did not pass first round of tests and is being replaced.</t>
  </si>
  <si>
    <t>*Customer Experience-P2</t>
  </si>
  <si>
    <t>* Architect and implement a Customer Experience Management to collect, analyze, and report on all outbound marketing efforts including the company website.
* We already have the building blocks of an acceptable solution.
* We have the skills.
* We have the technology and architecture to support this solution.</t>
  </si>
  <si>
    <t>Documentation will become outdated.</t>
  </si>
  <si>
    <t>Piloting solution for acceptance.  Losing resources to other projects.</t>
  </si>
  <si>
    <t>RWT</t>
  </si>
  <si>
    <t>Vesely, Michael</t>
  </si>
  <si>
    <t>15-3Q</t>
  </si>
  <si>
    <t>Will not bring in more customers
Lower customer satisfaction
Less efficiency</t>
  </si>
  <si>
    <t>15-1Q</t>
  </si>
  <si>
    <t>*ADM History Refresh</t>
  </si>
  <si>
    <t>*Agent Reporting Tool</t>
  </si>
  <si>
    <t>14-4Q</t>
  </si>
  <si>
    <t>*Content Management</t>
  </si>
  <si>
    <t>Data Center Consolidated</t>
  </si>
  <si>
    <t>Project on track, but watching resources because of the demand of other projects</t>
  </si>
  <si>
    <t>*NV2 Project</t>
  </si>
  <si>
    <t>Finance and Sales</t>
  </si>
  <si>
    <t>*Content Management-P2</t>
  </si>
  <si>
    <t>We can't locate all mission-critical data on servers</t>
  </si>
  <si>
    <t>*Receivables Dunning Upgrade</t>
  </si>
  <si>
    <t>New Receivables Dunning solution</t>
  </si>
  <si>
    <t>Network upgrade Data Center Consolidation project</t>
  </si>
  <si>
    <t>Receivables Dunning solution will fail</t>
  </si>
  <si>
    <t>Design for Six Sigma</t>
  </si>
  <si>
    <t>Cycle Time</t>
  </si>
  <si>
    <t>System logs.</t>
  </si>
  <si>
    <t>Soft benefit</t>
  </si>
  <si>
    <t>Customer Satisfaction</t>
  </si>
  <si>
    <t>*Network Load Balancing</t>
  </si>
  <si>
    <t>Our infrastructre won't be able to handle the new load</t>
  </si>
  <si>
    <t>Update ERP UI</t>
  </si>
  <si>
    <t>Minutes</t>
  </si>
  <si>
    <t>Goldberg, Larry</t>
  </si>
  <si>
    <t>Reduce delays Testing/QA cycle</t>
  </si>
  <si>
    <t>Pfeifer, Molly</t>
  </si>
  <si>
    <t>Disposal &amp; Recyling Process</t>
  </si>
  <si>
    <t>% decrease post production waste</t>
  </si>
  <si>
    <t>Cost of Poor Quality ($)</t>
  </si>
  <si>
    <t>Since 2013, corporate green task force has iniative to allign with commitment to create 0% post production waste by 2020.  .</t>
  </si>
  <si>
    <t>None exists.</t>
  </si>
  <si>
    <t>Sao Paulo Design Center</t>
  </si>
  <si>
    <t>Annual savings $450,000</t>
  </si>
  <si>
    <t>% post production waste</t>
  </si>
  <si>
    <t>Operations, corporate green task force</t>
  </si>
  <si>
    <t>DFSS team.</t>
  </si>
  <si>
    <t>Sustainability</t>
  </si>
  <si>
    <t>Brazilian Real</t>
  </si>
  <si>
    <t>Deburring process controls</t>
  </si>
  <si>
    <t>Six Sigma</t>
  </si>
  <si>
    <t>Warranty ($)/Month</t>
  </si>
  <si>
    <t>Since 2012, Bejing plant quality control has exeprienced First pass yield for components of only 71%.</t>
  </si>
  <si>
    <t>Random sampling.</t>
  </si>
  <si>
    <t>Bejing plant</t>
  </si>
  <si>
    <t>Increase FPY to 88%, reduce line down time by 60%.  Reduce warranty costs from $550,000 per year to less than $300,000</t>
  </si>
  <si>
    <t>Copmonents requiring one or more rework cycles upon general inspection.</t>
  </si>
  <si>
    <t>Operations, Bejing plant quality control</t>
  </si>
  <si>
    <t>Standard team.</t>
  </si>
  <si>
    <t>$200,000 savings in warranty cost</t>
  </si>
  <si>
    <t>Customer satisfaction.</t>
  </si>
  <si>
    <t>Russell, Douglas</t>
  </si>
  <si>
    <t>Japanese Yen</t>
  </si>
  <si>
    <t>Excess Raw Materials</t>
  </si>
  <si>
    <t>Inventory Turns per week</t>
  </si>
  <si>
    <t>Inventory</t>
  </si>
  <si>
    <t>Since 2013, machined components  has averaged raw material inventory of $4,500,000.</t>
  </si>
  <si>
    <t>Reduce raw material inventory from $4,500,000 to $3,500,000 with no impact on deliveries.  Free up $1,000,000 from inventory</t>
  </si>
  <si>
    <t>Tokyo plant</t>
  </si>
  <si>
    <t>Inventory turn greater than 48 hours.</t>
  </si>
  <si>
    <t>Operations, machined components</t>
  </si>
  <si>
    <t>$1,000,000 from inventory</t>
  </si>
  <si>
    <t>Vargas, Gabriel</t>
  </si>
  <si>
    <t>HR Management System Improvement</t>
  </si>
  <si>
    <t>DMAIC- Short</t>
  </si>
  <si>
    <t>Improve HR management for employee self service module.  Anticipated annual savings is $110,000.</t>
  </si>
  <si>
    <t>To be determined in Define phase.</t>
  </si>
  <si>
    <t>US Employee Pilot.</t>
  </si>
  <si>
    <t>Reduce staffing hours dedicated to inputting employee data to &lt; 1 FTE</t>
  </si>
  <si>
    <t>Self service form provided by employee rejected by vendor.</t>
  </si>
  <si>
    <t>Internal &amp; External</t>
  </si>
  <si>
    <t>N/A</t>
  </si>
  <si>
    <t>Aldridge, Mike</t>
  </si>
  <si>
    <t>Project Replication</t>
  </si>
  <si>
    <t>Improve coating processes.  Will be measured through internal inspection and customer return reason form and measured by DPMO.  Anticipated annual savings is $275,000.</t>
  </si>
  <si>
    <t>Return reason forms are recorded during restocking.</t>
  </si>
  <si>
    <t>Reduce waste in coating process by 80%</t>
  </si>
  <si>
    <t>Surface coverage ratio &lt;99% or &gt; 103%</t>
  </si>
  <si>
    <t>Christiansen, Robert</t>
  </si>
  <si>
    <t>Manufacturing Line Disruptions</t>
  </si>
  <si>
    <t>Since 2010, final assembly has exeprienced down time in excess of 24%.</t>
  </si>
  <si>
    <t>Fort worth plant</t>
  </si>
  <si>
    <t>Reduce downtime from 24 to 15%. $605,000 annual savings.</t>
  </si>
  <si>
    <t>Daily downtime in excess of 15%</t>
  </si>
  <si>
    <t>Operations, Final assembly</t>
  </si>
  <si>
    <t>$605,000 annual savings.</t>
  </si>
  <si>
    <t>Employee satisfaction.</t>
  </si>
  <si>
    <t>Bailey, Steve</t>
  </si>
  <si>
    <t>Since shipping rates increased last year, some customers are complaining about the increase in shipping costs. Primary characteristic to be improved is - weight as measured by - DPMO. Weigh less than 6 lbs. by December. In the Profit/Cost Center - estimated $700,000 annual savings by eliminating lost sales..</t>
  </si>
  <si>
    <t>Shipping weight is manually recorded in system.</t>
  </si>
  <si>
    <t>North American customers only.</t>
  </si>
  <si>
    <t>Decrease customer complaints by 25%.</t>
  </si>
  <si>
    <t>Total shipping weight greater than 6lbs.</t>
  </si>
  <si>
    <t>Simulation experience a plus.</t>
  </si>
  <si>
    <t>Williams, Candice</t>
  </si>
  <si>
    <t>Maintenance Parts Inventory Optimization</t>
  </si>
  <si>
    <t>Since 2011 there have been delays to maintenance due to indaqequate part inventory. Primary characteristic to be improved is - inventory as measured by - safety stock. Based on having 95% confidence to ensure 0 stockouts by December. In the Profit/Cost Center - estimated $122,000 annual savings by eliminating lost sales..</t>
  </si>
  <si>
    <t>ALM &amp; ERP Systems</t>
  </si>
  <si>
    <t>Kansas City plant.</t>
  </si>
  <si>
    <t>95% of maintancenace requests fulfilled within 24 hours.</t>
  </si>
  <si>
    <t>*Financial close cycle time reduction</t>
  </si>
  <si>
    <t>Since aqcuiring XYZ Corp with 5 foreign subsidiaries on separate accounting systms, financial close has been delayed an average of one week at the end of each quarter. Primary characteristic to be improved is - cycletime as measured by - hours. 144 hours total lead time. In the Profit/Cost Center - estimated $95,000 annual savings by eliminating lost sales..</t>
  </si>
  <si>
    <t>Quarter close to final approval in less than 5 days.</t>
  </si>
  <si>
    <t>Global finance team.</t>
  </si>
  <si>
    <t>5 day close</t>
  </si>
  <si>
    <t>Additional acquisitions could distract the team and delay project implementation.</t>
  </si>
  <si>
    <t>IT PM</t>
  </si>
  <si>
    <t>Data integrity, days to close/ man hours.</t>
  </si>
  <si>
    <t>$</t>
  </si>
  <si>
    <t>Improve Overnight Software backup process.  Currently requires manual verification.  Success measured by Cost of Poor Quality.  Anticipated annual savings is $640,000.</t>
  </si>
  <si>
    <t>Reduce data loss and network traffic issues due to back up during prime hours.</t>
  </si>
  <si>
    <t>Support tickets related to data loss.</t>
  </si>
  <si>
    <t>Backup incomplete at 03:00 in Western data center.</t>
  </si>
  <si>
    <t>Network performance</t>
  </si>
  <si>
    <t>Kaizen Blitz</t>
  </si>
  <si>
    <t>Since 2012, there have been duplicate entries in the vendor database. Primary characteristing to be improved is data entry and vendor approval form measured by DPMO.  Anticipated annual savings is $198,000</t>
  </si>
  <si>
    <t>Random sample &amp; manual inspection.</t>
  </si>
  <si>
    <t>Western regional suppliers.</t>
  </si>
  <si>
    <t>Stop duplicate entries</t>
  </si>
  <si>
    <t>More than one entry for a single entity.</t>
  </si>
  <si>
    <t>Vendor relations</t>
  </si>
  <si>
    <t>AP Software Improvement</t>
  </si>
  <si>
    <t>Since 2012, there have been delays in reporting from the AP software.  Service goal for each query is 10 seconds, to be measured by DPMO. Anticipated annual savings is $644,000</t>
  </si>
  <si>
    <t>System logs from AP admin.</t>
  </si>
  <si>
    <t>Average query load &lt;5 seconds</t>
  </si>
  <si>
    <t>Query load in excess of 15 seconds</t>
  </si>
  <si>
    <t>Services</t>
  </si>
  <si>
    <t>*20XX SWIFT Mandate</t>
  </si>
  <si>
    <t>Compliance</t>
  </si>
  <si>
    <t>cost avoidance</t>
  </si>
  <si>
    <t>Opportunity Cost ($)</t>
  </si>
  <si>
    <t>Annual SWIFT mandate</t>
  </si>
  <si>
    <t>Financial Services</t>
  </si>
  <si>
    <t>New customer order software has led to an increase in the number for delayed orders while a CSR contacts customer for incomplete data.  Orders measured by DPMO.  Anticipated annual savings is $-140000.</t>
  </si>
  <si>
    <t>Will require reconciliation of order and shipping logs.</t>
  </si>
  <si>
    <t>European consumer division.</t>
  </si>
  <si>
    <t>Same day shipping for orders placed by 15:00</t>
  </si>
  <si>
    <t>Incomplete order forms.</t>
  </si>
  <si>
    <t>Panton, Carla</t>
  </si>
  <si>
    <t>Forecasting Software Implementation</t>
  </si>
  <si>
    <t>Lead Time</t>
  </si>
  <si>
    <t>Need to implement forecasting software.  Will be measured by Lead Time for update of quarterly rolling forecast.  Anticipated annual savings is $-17,000.</t>
  </si>
  <si>
    <t>Measurement system will be part of design requirments.</t>
  </si>
  <si>
    <t>EMEA finance team pilot.  Global roll out TBD.</t>
  </si>
  <si>
    <t>Automatic update of baseline forecast available 1 day after close of quarter.</t>
  </si>
  <si>
    <t>Full forecast cycle in excess of 1 week.</t>
  </si>
  <si>
    <t>Ease of use</t>
  </si>
  <si>
    <t>Martinez, Horacio</t>
  </si>
  <si>
    <t>DPMO (hours battery life)</t>
  </si>
  <si>
    <t>Since 2012, sales has exeprienced %1 market share decline since the competitor has introduced new battery which holds a charge 200% longer than curent models.</t>
  </si>
  <si>
    <t>Recapture .5% of marketshare.  Annual sales increase of $500,000</t>
  </si>
  <si>
    <t>Average battery life of &lt; 400 hours.</t>
  </si>
  <si>
    <t>Engineering, Battery design</t>
  </si>
  <si>
    <t>Annual sales increase of $500,000</t>
  </si>
  <si>
    <t>Customer retention</t>
  </si>
  <si>
    <t>Althaus, Conrad</t>
  </si>
  <si>
    <t>Change order review process improvement</t>
  </si>
  <si>
    <t>Significant project delays and penalties due to scope change orders requiring rework.  Change order submission quality will be improved as measured by DPMO.  Anticipated annual savings is $580000.</t>
  </si>
  <si>
    <t>System logs for input date and approval date.</t>
  </si>
  <si>
    <t>Global engineering.</t>
  </si>
  <si>
    <t>First time yeild 90% and 24 hour average approval.</t>
  </si>
  <si>
    <t>Requests reworked more than once.</t>
  </si>
  <si>
    <t>Over the past year, 3 minor and 2 major Conveyor Belt accidents have been reported.  Each incident requires a full shutdown and inspection.  Reduction in accidents to be reduced to six sigma quality level as measured by DPMO.  Anticipated annual savings is $500,000.</t>
  </si>
  <si>
    <t>Regulatory &amp; union incident reports.</t>
  </si>
  <si>
    <t>Fort Worth opperations.</t>
  </si>
  <si>
    <t>100% safety record</t>
  </si>
  <si>
    <t>Reportable incident as defined by OSHA and Labor Unions.</t>
  </si>
  <si>
    <t>Employee Satisfaction</t>
  </si>
  <si>
    <t>Branch Banking</t>
  </si>
  <si>
    <t>Integrated Trade Financial Platform</t>
  </si>
  <si>
    <t>Innovation</t>
  </si>
  <si>
    <t>customers saved</t>
  </si>
  <si>
    <t>Mkt Protection</t>
  </si>
  <si>
    <t>integrate multiple trade platforms</t>
  </si>
  <si>
    <t>Integrated Receivables/Payables</t>
  </si>
  <si>
    <t>New customers</t>
  </si>
  <si>
    <t>Growth</t>
  </si>
  <si>
    <t>We need integrate receivables/payables for our customers.</t>
  </si>
  <si>
    <t>Market differentiation</t>
  </si>
  <si>
    <t>Retail</t>
  </si>
  <si>
    <t>We need to upgrade our web banking system to better serve our customers</t>
  </si>
  <si>
    <t>Since 2008, shipping and receiving department has exeprienced poor workflow resulting in 100 hours of overtime per month.</t>
  </si>
  <si>
    <t>Automated system reports.</t>
  </si>
  <si>
    <t>Sao Paulo Plant</t>
  </si>
  <si>
    <t>Reduce overtime to &lt;20 per month.  Savings $100,000</t>
  </si>
  <si>
    <t>Cycle times over 30 min.</t>
  </si>
  <si>
    <t>Operations, shipping and receiving department</t>
  </si>
  <si>
    <t>Discrete event simulation required.</t>
  </si>
  <si>
    <t>Savings $100,000</t>
  </si>
  <si>
    <t>Vendor satisfaction</t>
  </si>
  <si>
    <t>Turner, Scott</t>
  </si>
  <si>
    <t>AR process improvement</t>
  </si>
  <si>
    <t>DSO</t>
  </si>
  <si>
    <t>The current billing for services projects does not give adequate information and leads to frequent customer inquries and DSO &gt; 60 days.</t>
  </si>
  <si>
    <t>North America Finance</t>
  </si>
  <si>
    <t>Reduce average Days Sales Outstandign (DSO) to &lt; 30 days</t>
  </si>
  <si>
    <t>DSO in excess of 30 days.</t>
  </si>
  <si>
    <t>Primary benefit is shortened DSO, but secondary benefit of reapplying resources who are currently researching and responding to customer inquiries.</t>
  </si>
  <si>
    <t>Data Vault Upgrade</t>
  </si>
  <si>
    <t>Upgrade data vault</t>
  </si>
  <si>
    <t>Customer Return &amp; Restocking</t>
  </si>
  <si>
    <t>Since 2012, European distribution processing department has exeprienced cycle time to process return and credit customer account 50 hours on average.</t>
  </si>
  <si>
    <t>European distribution center</t>
  </si>
  <si>
    <t>Reduce from over 50 hours on average to less than 10 hours on average. Sales increase of $250,000.</t>
  </si>
  <si>
    <t>Cycle time greter than 10 hours.</t>
  </si>
  <si>
    <t>Operations, European distribution processing department</t>
  </si>
  <si>
    <t>Sales increase of $250,000.</t>
  </si>
  <si>
    <t>*Dodd Frank 1073 Foreign Remittances</t>
  </si>
  <si>
    <t>Regulatory compliance (DF)</t>
  </si>
  <si>
    <t>Requirements defined in latest DF filing</t>
  </si>
  <si>
    <t>*Global Capital Markets DF Reporting</t>
  </si>
  <si>
    <t>Update reporting for DF</t>
  </si>
  <si>
    <t>*Regulatory Q Repeal (DF Impact)</t>
  </si>
  <si>
    <t>Changes to Reg Q</t>
  </si>
  <si>
    <t>Vendor Metrics and Scorecards</t>
  </si>
  <si>
    <t>Transformation</t>
  </si>
  <si>
    <t>market share</t>
  </si>
  <si>
    <t>Ops Efficiency/Productivity</t>
  </si>
  <si>
    <t>Better metrics for our vendors</t>
  </si>
  <si>
    <t>Approve to hire process</t>
  </si>
  <si>
    <t>Weeks</t>
  </si>
  <si>
    <t>Since 2008, human resources has exeprienced teired approvals leading to delays in delivery of offer letters.  Average 45 days between identification of candidate and offer letter..</t>
  </si>
  <si>
    <t>Target of 5 day cycle time.  Reduce recruiting expenses by $250,000 annually.</t>
  </si>
  <si>
    <t>Cycle time in excess of 5 days.</t>
  </si>
  <si>
    <t>Finance, Human resources</t>
  </si>
  <si>
    <t>$250,000 annually.</t>
  </si>
  <si>
    <t>Employee retention.</t>
  </si>
  <si>
    <t>Services levels improvement</t>
  </si>
  <si>
    <t>Inter-company Invoicing2</t>
  </si>
  <si>
    <t>Defects per request</t>
  </si>
  <si>
    <t>Defects per Unit</t>
  </si>
  <si>
    <t>Since 2013, accounting has exeprienced problem invoices between divisions requiring 8 full time employees to handle.</t>
  </si>
  <si>
    <t>Head quarters</t>
  </si>
  <si>
    <t>5 of 8 employees to be redeployed to functions with a higher value add.  $220,000 annual savings.</t>
  </si>
  <si>
    <t>Errors per invoice.</t>
  </si>
  <si>
    <t>Finance, Accounting</t>
  </si>
  <si>
    <t>$220,000 annual savings.</t>
  </si>
  <si>
    <t>Since 2011, finished goods assembly has required rework required for 15% of parts.</t>
  </si>
  <si>
    <t>Increase FPY to 99% for coating process.  $375,000 savings from decreased rework.</t>
  </si>
  <si>
    <t>Inseam inspection failure reason listed as inadequate coating.</t>
  </si>
  <si>
    <t>Engineering, finished goods assembly</t>
  </si>
  <si>
    <t>$375,000 savings</t>
  </si>
  <si>
    <t>*Shared Billing Services</t>
  </si>
  <si>
    <t>Update our shared billing platform</t>
  </si>
  <si>
    <t>*Managed Print Services</t>
  </si>
  <si>
    <t>better print services management</t>
  </si>
  <si>
    <t>Maintenance scheduling- predict service time</t>
  </si>
  <si>
    <t>Call Center Staffing Optimization</t>
  </si>
  <si>
    <t>Dropped Calls %</t>
  </si>
  <si>
    <t>Since 2012, the direct sales call center has exeprienced experienced dropped call rates around 27%.</t>
  </si>
  <si>
    <t>Kansas City Plant</t>
  </si>
  <si>
    <t>Dropped calls less than 5%. Increased sales by $410,000</t>
  </si>
  <si>
    <t>Calls dropped before &lt;5 call time with operator.</t>
  </si>
  <si>
    <t>Sales, the direct sales call center</t>
  </si>
  <si>
    <t>Increased sales by $410,000</t>
  </si>
  <si>
    <t>Moretti, Amber</t>
  </si>
  <si>
    <t>Custom Order Assembly Process</t>
  </si>
  <si>
    <t>Since 2011, custom order assembly process has exeprienced Cycle times over 810 hours.</t>
  </si>
  <si>
    <t>Western regional distribution center</t>
  </si>
  <si>
    <t>Cycle time less than 400 hours.  Save over $150,000 in late penalties</t>
  </si>
  <si>
    <t>Cycle times over 810 hours.</t>
  </si>
  <si>
    <t>Operations, custom order assembly process</t>
  </si>
  <si>
    <t>$150,000 in late penalties</t>
  </si>
  <si>
    <t>Repeat customers</t>
  </si>
  <si>
    <t>Baladud, Neena</t>
  </si>
  <si>
    <t>Customer Financing Approval Process</t>
  </si>
  <si>
    <t>Since 2013, financing approvals has exeprienced applications with error rate of 8%.</t>
  </si>
  <si>
    <t>Applications with errors less than 2%.  $1.5 milion savings.</t>
  </si>
  <si>
    <t>Applications containing one or more material errors requiring rework</t>
  </si>
  <si>
    <t>Sales, financing approvals</t>
  </si>
  <si>
    <t>$1.5 milion savings.</t>
  </si>
  <si>
    <t>Focus sales team on value add selling acitivites.</t>
  </si>
  <si>
    <t>New Cover Attachement</t>
  </si>
  <si>
    <t>Accessories requires design for new cover attchment for next gen product.</t>
  </si>
  <si>
    <t>VOC Survey</t>
  </si>
  <si>
    <t>Tokyo design center</t>
  </si>
  <si>
    <t>Lead time for cover attchement 5 days following the release of next gen product.  Market potential $1.5 million annually.</t>
  </si>
  <si>
    <t>Lead time in excess of 5 days</t>
  </si>
  <si>
    <t>Engineering, accessories</t>
  </si>
  <si>
    <t>Revenue generation $1.5 million annually.</t>
  </si>
  <si>
    <t>Increased market share</t>
  </si>
  <si>
    <t>Rafeq, Abdul</t>
  </si>
  <si>
    <t>Petroleum Supply Management</t>
  </si>
  <si>
    <t>Shortage Costs</t>
  </si>
  <si>
    <t>Since 2010, transportation services has exeprienced fleet costs escalation of 15% year over year.</t>
  </si>
  <si>
    <t>Stabilize fleet costs.</t>
  </si>
  <si>
    <t>To Be Determined</t>
  </si>
  <si>
    <t>Operations, transportation services</t>
  </si>
  <si>
    <t>Safety Improvement Performance</t>
  </si>
  <si>
    <t>Incident Count</t>
  </si>
  <si>
    <t>Since 2012, shipping department has exeprienced Average of 5 reported saftey incidents per month in shipping operations.</t>
  </si>
  <si>
    <t>Compliance reports.</t>
  </si>
  <si>
    <t>Reduce reported incidents to 3.4 incidents per million opportunities.</t>
  </si>
  <si>
    <t>Incident reports based on Labor Union and OSHA standards.</t>
  </si>
  <si>
    <t>Operations, shipping department</t>
  </si>
  <si>
    <t>$350,000 annual</t>
  </si>
  <si>
    <t>Safety</t>
  </si>
  <si>
    <t>Zambrano, Victor</t>
  </si>
  <si>
    <t>Since 2013, supplier shortages are responsible for 80% of late custom orders.</t>
  </si>
  <si>
    <t>Bejing design center</t>
  </si>
  <si>
    <t>Standardize order quantity and frequency to established preferred customer status with key suppliers.</t>
  </si>
  <si>
    <t>Safety stock levels, 95% confidence</t>
  </si>
  <si>
    <t>Operations, vendors</t>
  </si>
  <si>
    <t>600000</t>
  </si>
  <si>
    <t>Hong Kong Dollar</t>
  </si>
  <si>
    <t>*Mobile Banking Alerts</t>
  </si>
  <si>
    <t>Enhance our mobile banking alerts to our customers</t>
  </si>
  <si>
    <t>IVR Replacement</t>
  </si>
  <si>
    <t>Replace IVR; customers frustrated</t>
  </si>
  <si>
    <t>Consumer</t>
  </si>
  <si>
    <t>Product Development</t>
  </si>
  <si>
    <t>NPD Tollgate Process</t>
  </si>
  <si>
    <t>New Product Development</t>
  </si>
  <si>
    <t>*Cellulose Acetate Microflakes</t>
  </si>
  <si>
    <t>Package and sell our normal production byproduct, Cellulose Acetate Microflakes as a new product line. The market is already in place and we will just fill the orders initially and later grow the market</t>
  </si>
  <si>
    <t>&gt; 40%</t>
  </si>
  <si>
    <t>Online Funds Transfer</t>
  </si>
  <si>
    <t>make online transfer easier for customers and back office</t>
  </si>
  <si>
    <t>Information Mgmt - eStatements</t>
  </si>
  <si>
    <t>Update eStatements</t>
  </si>
  <si>
    <t>Pipeline Enhancements</t>
  </si>
  <si>
    <t>Enhance pipeline</t>
  </si>
  <si>
    <t>The target market for this product is all users of the Model 8120 Logic Unit.
Twenty Six percent of after sales failures in the 8120 units are as a result of faulty wiring harness. Rerouting of wiring harness for 8120 will reduce failure rate and increase wire harness quality</t>
  </si>
  <si>
    <t>*Force Flex Pill Package Upgrade</t>
  </si>
  <si>
    <t>Product Concept</t>
  </si>
  <si>
    <t>High quality development.</t>
  </si>
  <si>
    <t>Make or buy a better packaging solution</t>
  </si>
  <si>
    <t>Risk Management</t>
  </si>
  <si>
    <t>upgrade our image archiving services</t>
  </si>
  <si>
    <t>*Secure Credit Card</t>
  </si>
  <si>
    <t>further enhance our secure credit card network</t>
  </si>
  <si>
    <t>Card Svcs</t>
  </si>
  <si>
    <t>Mortgage Warehouse Replacement</t>
  </si>
  <si>
    <t>Waterfall (Phases)</t>
  </si>
  <si>
    <t>Replace Mortgage Warehouse System</t>
  </si>
  <si>
    <t>*Poly Stent Cover</t>
  </si>
  <si>
    <t>clean room development</t>
  </si>
  <si>
    <t>The marketplace is looking for a better stent cover</t>
  </si>
  <si>
    <t>Stent marketplace</t>
  </si>
  <si>
    <t>engineers</t>
  </si>
  <si>
    <t>materials</t>
  </si>
  <si>
    <t>*Constellation 97 LD</t>
  </si>
  <si>
    <t>*Constellation 57</t>
  </si>
  <si>
    <t>*Techny Force Flex II</t>
  </si>
  <si>
    <t>*NuGreen Bio Bottle</t>
  </si>
  <si>
    <t>HR Self Service System</t>
  </si>
  <si>
    <t>hours</t>
  </si>
  <si>
    <t>Executive Idea</t>
  </si>
  <si>
    <t>Maintenance Parts Optimization</t>
  </si>
  <si>
    <t>Marketing Event Set Up Process</t>
  </si>
  <si>
    <t>Completed Project2</t>
  </si>
  <si>
    <t>Packaging Tolerance Analysis</t>
  </si>
  <si>
    <t>Risk Data Aggregation - Basel</t>
  </si>
  <si>
    <t>Risk Data Aggregation</t>
  </si>
  <si>
    <t>The current inventory system is old and needs to be rebuilt.  The Pegasus solution will address current and future requirements.</t>
  </si>
  <si>
    <t>Create the Pegasus Inventory solution to address current and future reuirements</t>
  </si>
  <si>
    <t>New metadata indexing soluiton</t>
  </si>
  <si>
    <t>Mobile Banking Alerts</t>
  </si>
  <si>
    <t>R18</t>
  </si>
  <si>
    <t>R33</t>
  </si>
  <si>
    <t>R23</t>
  </si>
  <si>
    <t>R24</t>
  </si>
  <si>
    <t>R28</t>
  </si>
  <si>
    <t>R21</t>
  </si>
  <si>
    <t>R22</t>
  </si>
  <si>
    <t>R36</t>
  </si>
  <si>
    <t>R30</t>
  </si>
  <si>
    <t>R34</t>
  </si>
  <si>
    <t>R25</t>
  </si>
  <si>
    <t>R26</t>
  </si>
  <si>
    <t>R27</t>
  </si>
  <si>
    <t>NPV</t>
  </si>
  <si>
    <t>IRR</t>
  </si>
  <si>
    <t>ROI</t>
  </si>
  <si>
    <t>Total(Set 1)</t>
  </si>
  <si>
    <t>Benefits(Set 1)</t>
  </si>
  <si>
    <t>Cost(Set 1)</t>
  </si>
  <si>
    <t>Total(Set 2)</t>
  </si>
  <si>
    <t>Benefits(Set 2)</t>
  </si>
  <si>
    <t>Cost(Set 2)</t>
  </si>
  <si>
    <t>All Fiscal Years</t>
  </si>
  <si>
    <t>Current Before This Month,Plan After This Month</t>
  </si>
  <si>
    <t xml:space="preserve"> Default Plan Snapshot </t>
  </si>
  <si>
    <t>56%</t>
  </si>
  <si>
    <t>57%</t>
  </si>
  <si>
    <t>21%</t>
  </si>
  <si>
    <t>20%</t>
  </si>
  <si>
    <t>19%</t>
  </si>
  <si>
    <t>Manual Mode</t>
  </si>
  <si>
    <t xml:space="preserve">
Project Manager: Allen, Pierce: pilot+pallen@oracle.com
Developer: Darsch, Nancy: pilot+ndarsch@oracle.com
Graphics Designer: Musial, Mark: pilot+Mark.Musial@oracle.com
QA/QC: Jackson, Lauren: pilot+ljackson@oracle.com
Security Engineer: Bryant, Mark: pilot+Mark.O'Bryant@oracle.com
Project Sponsor: Trumain, Paul: pilot+ptrumain@oracle.com
Security Engineer: Donner, Daniel: pilot+ddonner@oracle.com
</t>
  </si>
  <si>
    <t>51%</t>
  </si>
  <si>
    <t xml:space="preserve">
Project Manager: Barnes, Heidi: pilot+hbarnes@oracle.com
Project Sponsor: Summers, Peter: pilot+psummers@oracle.com
Consultant: Little, Camille: pilot+clittleit@oracle.com
Analyst: Yellam, Danielle: pilot+dyellam@oracle.com
QA/QC: Engles, Sally: pilot+sengles@oracle.com
Team Member: Allen, Vanessa: pilot+vallen@oracle.com
</t>
  </si>
  <si>
    <t xml:space="preserve"> -47%</t>
  </si>
  <si>
    <t>934%</t>
  </si>
  <si>
    <t>Williams, Ron</t>
  </si>
  <si>
    <t>Close-Short</t>
  </si>
  <si>
    <t xml:space="preserve">
Project Manager: Williams, Ron: sumant.raravikar@oracle.com
Web Developer: Warner, Stuart: pilot+swrner@oracle.com
Consultant: Brock, Raheem: pilot+rbrock@oracle.com
Architect: Boswell, Jeffrey: pilot+Jeffrey.Boswell@oracle.com
Analyst: Bird, Sue: pilot+sbirdit@oracle.com
Developer: Owens, Tom: pilot+towens@oracle.com
QA/QC: Bryant, Mark: pilot+Mark.O'Bryant@oracle.com
Security Engineer: Donner, Daniel: pilot+ddonner@oracle.com
Project Sponsor: Summers, Peter: pilot+psummers@oracle.com
</t>
  </si>
  <si>
    <t>48%</t>
  </si>
  <si>
    <t>Planning-P2</t>
  </si>
  <si>
    <t>37%</t>
  </si>
  <si>
    <t xml:space="preserve">
Project Manager: Forsythe, John: pilot+jforsythe@oracle.com
Analyst: Bird, Sue: pilot+sbirdit@oracle.com
DBA: Boyce, Dorson: pilot+dboyce@oracle.com
Security Engineer: Baldwin, Doug: pilot+gbaldwin@oracle.com
Project Sponsor: Panella, Louis: pilot+lpanella@oracle.com
Team Member: Allen, Vanessa: pilot+vallen@oracle.com
</t>
  </si>
  <si>
    <t>47%</t>
  </si>
  <si>
    <t>67%</t>
  </si>
  <si>
    <t>Develop Small Arc Handset</t>
  </si>
  <si>
    <t>42%</t>
  </si>
  <si>
    <t>26%</t>
  </si>
  <si>
    <t>Sprint 0 - Agile</t>
  </si>
  <si>
    <t>85%</t>
  </si>
  <si>
    <t>initiate-Short</t>
  </si>
  <si>
    <t>18%</t>
  </si>
  <si>
    <t>138</t>
  </si>
  <si>
    <t>*CP Upgrade</t>
  </si>
  <si>
    <t>195</t>
  </si>
  <si>
    <t xml:space="preserve">
Project Manager: Allen, Pierce: sumant.raravikar@oracle.com
Analyst: Boone, Dan: sumant.raravikar@oracle.com
Developer: Engles, Sally: sumant.raravikar@oracle.com
Project Sponsor: Parsons, Alan: sumant.raravikar@oracle.com
Developer: Qualle, Rita: sumant.raravikar@oracle.com
</t>
  </si>
  <si>
    <t xml:space="preserve"> -100%</t>
  </si>
  <si>
    <t>34%</t>
  </si>
  <si>
    <t>Project Request ID</t>
  </si>
  <si>
    <t>Project Request Name</t>
  </si>
  <si>
    <t>Calendar ID</t>
  </si>
  <si>
    <t>SOX Complicance</t>
  </si>
  <si>
    <t>opp cost</t>
  </si>
  <si>
    <t>Configurator, Application</t>
  </si>
  <si>
    <t>Not Named Yet</t>
  </si>
  <si>
    <t>16-2Q</t>
  </si>
  <si>
    <t>Rejected</t>
  </si>
  <si>
    <t>asda</t>
  </si>
  <si>
    <t>Veris DVR</t>
  </si>
  <si>
    <t>At risk do to loss of key resource focus.  Working on focus.  
Awaiting better raw material supplier.  Working with procurement</t>
  </si>
  <si>
    <t>Rolling Walker with Reach Bar</t>
  </si>
  <si>
    <t>Milky Way Satellite Receiver</t>
  </si>
  <si>
    <t>Galaxy 61</t>
  </si>
  <si>
    <t>Galaxy 73</t>
  </si>
  <si>
    <t>S-Heart Stent</t>
  </si>
  <si>
    <t>Current stent options are not flexible enough to address patient needs.  A new stent solution needs to be created and deployed.</t>
  </si>
  <si>
    <t>Design, create, and deploy a new, flexible S-Heart Stent</t>
  </si>
  <si>
    <t>New flexible coating</t>
  </si>
  <si>
    <t>All</t>
  </si>
  <si>
    <t>All stent operations</t>
  </si>
  <si>
    <t>500%</t>
  </si>
  <si>
    <t>Project on track.  Prototyping material options.</t>
  </si>
  <si>
    <t>Pyxis MD Delivery System Modification</t>
  </si>
  <si>
    <t>Any hospital or large healthcare facility</t>
  </si>
  <si>
    <t>The electrical phasing is incorrect for the feed circuits.  The issue is being worked on and will soon be corrected.</t>
  </si>
  <si>
    <t>Image Archive System Upgrade - New</t>
  </si>
  <si>
    <t>Hermes Delivery Systems</t>
  </si>
  <si>
    <t>DME</t>
  </si>
  <si>
    <t>*Web Banking System Upgrade- New</t>
  </si>
  <si>
    <t>Opportunity Cost</t>
  </si>
  <si>
    <t>P138</t>
  </si>
  <si>
    <t>5d779c38-5c22-4fa2-b6ed-3e549746cfc6</t>
  </si>
  <si>
    <t>CB_Block_0</t>
  </si>
  <si>
    <t>Decisioneering:7.0.0.0</t>
  </si>
  <si>
    <t>CB_Block_7.4.0.0:1</t>
  </si>
  <si>
    <t>Decisioneering:7.4.0.0</t>
  </si>
  <si>
    <t>d177d9b1-04fd-435f-a44c-c2396e4a58b4</t>
  </si>
  <si>
    <t>CB_Block_7.0.0.0:1</t>
  </si>
  <si>
    <t>CB_Block_7.0.0.0:2</t>
  </si>
  <si>
    <t>Resources</t>
  </si>
  <si>
    <t>Resource Capacity</t>
  </si>
  <si>
    <t>㜸〱敤㕣㕢㙣ㅣ搷㜹摥㌳攴㉥㜷㤶㔷㠹戲㘵㌹㡥捣搸㜱㝣愱㐲㡢㤴㔵挷㙥ㄵ㠵ㄷ摤ㄲ㑡愴㐴㑡㑥攲〴敢攱敥っ㌹搶捥㉣㌵㌳㑢㠹㠹ㄲ扢㙦㑤㥢〴慤㡢〲戱攳戴㠶ㅢ㌴㘹㥢㌴㐸摡㌸㜶搱㤷〲〵㕡ㄴづ搰〰挹㐳㠱〶㌰㠲愲㝤攸〵〲晡ㄲ愰〱搲敦晢㘷㘶㜷㜶㤷㍢愲㔶㜶㑢ㄷㅣ㜹㝦㥥㌹昷㜳晥敢昹晦㌳捥愸㑣㈶昳㑢㍣晣换愷㤷㠹㝢㤶㌶晤挰㜴㈶㘶慢㤵㡡㔹ち散慡敢㑦㑣㝢㥥戱㌹㙦晢㐱て㉡攴㡡㌶捡晤㙣搱户㍦㘳收㡢ㅢ愶攷愳㔲㌶㤳挹攷㜵つ攵散㠴扦㤱昸㐵㘷慢㠱㕥㠰攵搹㤹㠵㤵㘷搱敢㔲㔰昵捣㐳㘳㤷挲戶挷㈶㈷㈷㈶㈷ㅥ㍢㌲㜵㘴攲昰愱戱搹㕡㈵愸㜹收㌱搷慣〵㥥㔱㌹㌴戶㔸㕢愹搸愵㡦㤹㥢换搵换愶㝢捣㕣㌹㝣㘴挵㜸散㐳㤳㡦ㅤ㍤㙡㍤昱挴㠷〶㌰㜴收摣散捣愲㘷㕡晥摢搴㘷㤶㔳㝥㙣捥㉣搹㕣㥢㘹㝡戶扢㍡㌱㍢㠳晦ㄲ昳挷摢攳ㄳ㑢㙢愶ㄹ㜰㘸搳㌳摤㤲改敢㘸搸敦㑣晢㝥捤㔹攷收改捥㐹㉣戵㘴昸㐱搶㤹㌵㉢ㄵ摤㠹㝢捤㍢ぢ搸扢㡡戱㌹攰㉣㤹慥㙦〷昶㠶ㅤ㙣收㥣㘵㜴㔴ㅥ㜴㉥晡收〵挳㕤㌵捦ㄹ㡥㤹㜵㑥搵散㜲㙦昸㘴㝡ㅥ㡣扢㐸㑥㑣㤶㍦㌱敤㍢戳㙢㠶㈷㌳昲戹㌱㈹㜵㑦㝡愵收扡昷㜷敥㤷㔳㤷ㄱ搸攷〳㥤敢愱攴㤲攱搵㙢㡥㜷慥ㄹ㉤扥㜹〶㡦㜶慥㥦搸愳收㌶て㜷㙥㈳㕢搹㕣㕢昵㐷昴㉤㍢㡡挵攸㌹㠲㍥㠲㍣〱ㄱ愸ㄷ〸晡〹〶〰㔴敦㝦㠱㑢㤲つ㔹愴ㄵつ慤戸愲ㄵ㑢㕡戱慣ㄵ㑤慤㘸㘹挵㔵慤戸愶ㄵ㙤慤昸慣㔶扣㡣㍡昱㤳敦敢搳愲攷㐷昶搰㠷晦攳晣㡢㜳摦晤㘹攱㕢㍦㝤攸ㅢ晦㍤㌰㠴㑡攷愳㐹捤㜹挶㔵㤰㕡㠳㡡愷㈶づ昳摦捤戹〲㑣㘱ㅤ戵ㅥ户㈶㈷换㐷てㅢ㐷㡣㉣㤷㤵㠲晣㈶㐲ㄹ㐱摤〱敢㈹摢㉤㔷慦ち敥敥㤹㌱㝣戳戱㜱攳㔱搹㑣戵收㤶晤昷㙣㕤戸ㄴㄸ㠱㜹㜷㙢㔹愳㤳戶㘶㑢㘰㉢搳㤷昱づ戶㌶扢㘴㔴㙡收昴㌵㍢㉣㝥㙦㑢戱戳攸㔵㔷㍡㤷㥥昴捣㉢昵搲戶ㄹ㑤㐳愸㙤㐸摦㙤慢っ㡢挲㜹㡤捤慥㔵㝤搳㤵改㡤㍢㡢㜶改戲改㉤㤹ㄴ㠹㘶㔹㤶㝡〷㡢㈲慥ㅦ㕦㜰戱㔰㜰㙢昹扥㘴慥㜵攲㕡〰㘶㌶换㤸敦扡改〵㥢换挶㑡挵扣戳愹㑡㌸㈶ちづ㌴㘵㥦慣㤶㙡晥㙣搵つ扣㙡愵戹㘴扡扣㘱㐰搲㤴捦㔶换㘶㙦㙦㐶㠴〲〴㙥㑦㡦㔲㤹㐷㍡昳㠲㈰㈲㠱㘲㌲昲㕤捤㘴㌷㜱〱慢挳㉡㉡㈶㘹㔲㝢晦㑤㍡攳㝣㐵挶愴㜰㘰㘲㑤搴ㅦㅣ昴愱㥢㜴㕢挷摣㍢㕢㔹搳㐶愳搵㥦搸㌰摤攰戴攱㤶㉢愶㤷慡晤ㄴ㘷愴て〳㘴㙦㐰㈰㜴摣㍤慡㍡㜵㑤㙤㘶慦摡攵㘰㉤户㘶摡慢㙢〱昲愰㈱昳㜹㙥㙤摢愳敦㐱㤶扥㤷㘰ㄴ愰㔰挸攴昶戱㔲慥㠰㈷㤳愵㜴㑡攱攵㈶㐱捥㜶㑤扣㍣㘰㥤戴㉢㠱ㄹち攵㘱ぢㄸ〹戵㥡愰㙦㤰㈴敡ㄹ愵㔰㘱散戳㘶㐱愵㠶敤〶㥢つ扥㙤攳㤲㤰㠸㜶㘵挱㡥㤳〵ㄴ〵捤昲㈰㠵搷㐰㌴㉤搲㈰扤㜲㠲㠸挸〶㈹㥡ㅤ㍤㌷ㄳㄹ敢愷挸〸搴㑦ㄲ㈱㙢ㅦ敥㉣㈳㐸散敤㐴捡㐶ㅤ昹㜱㔷㥡㙤㘵换㠷搲散づ㙣㥣㝥㈷挱㝥㠲扢〸づ〰愸㝦㠱㠴愳㤴㐳扡昹搱摦㠳㜷晤ㅥ㠲昷〲㐰㍥改㤴㌹㤱愸愲つ戵ㅤ㍢㤲昵〶㘱㈷㡢㔱ㅣ㡡㈲㕡挶㜵㍢㜳搰ㄱ㐴㐷㔶攷捥搰戵扤愲㘳㍦搰㤹㌶㤳换㈱㐵愶㔴㑤慥昵㈶㔵㤳ㅢ挱慡㕤敡慤㝢搱㔴ㅦ㈳㜸ㅦ㐰㐱扦㡦㄰捡㠵〶敦昶㉣㝡㥡㤴敦ち戳㈸㌴㠶扡㔴昰ㄱ㈱昳〸㤰㈲攴摡㡥㉦扢㌶㌴捤挱㜱敢㕤㙦㐳ㅦ敡捣摦ㄱ搲㕢昴收慥摥愱扦攸ㄶ慤攸晢挱㕥敡㥦㍡敡㤸〷㔰慣㝦㠰攰㐱㠰ㄶㅤ挳搳昷慤㝡ち挴㉣㜶ㄲ㤸摢㑢慦㡢㔸戹换㥢敢愶㘸愰〱㙢搹昰㔶捤〰ㅥ㡣㌳㜳戰㠵慢㥥㘷㔶㜰愸㉤㑢〶捦㉦晢㥢㌳晤㤳㕥搵㘱晥慥㡤散扦㉢ㄴ㐳㙦慦搶㤳㘹戱㤱㔳㙣捤㠴捦㈹㐱㌹搴挱㐷㍡ぢ㠹㐴愳㘶昲㘲扢昴昳攵慥㈴改㐲㤲㍣㡣㙤搵ㅦ〱㠰㤴㔰㍦改㈸㔱づ戱摡〷愵㕡戳挵㑡て㕦捡改愴挵㠷搸㈶㐷晡㐳㠷敤っ晣〷晥愰戳㘴㍢㜵㘱搱敦㉣㥡㕥〹扥〵扢㘲ㄶ㐲户㉣㐵捤慥慣㜸㤷挸㡡㥥㥥戶昳㜴㡡㝦㑤攸愴㐵㑡愴㜲㝢㙡㘱捡㔹扣㐱㔴㜴㐳㔲愸愴戸㠶敡ㄲ㠸㤴挷扡扢㈲愶ぢㄱ昳㈸㌶㑥㍦㑣㌰㐹㌰〵㤰晤㈱㈴捤㜶㌷㥥攱戰扥つ扡戴㡢挵㑣㥥㘸㄰ㄷ攱㥢ㅤ㠵搵㔱づ昳㉢〴㡦〳戴㤸㍦㜴㐰愶㄰愲愰㍣㐱㠸ㄲ挶戰㉥搹收㔵搲挰㤰㠵挰搲㙣捤て慡づ㈳㑢㠳搶㕣昵㕣㌵㤸戳晤㜵㐴愲㐶慤㈸昱搴㥡改㠲扡㍣搸㍥㉤㜹搵昵㜵戳慣㕢㑢搵ㅡ㐴摢㤹戹㥤㜰㌰挷㜶挰㤶㤴戳戹愶昰㜴㜷㍥㐶ㄷち㍢㉤晥㔶㝡㘳户攵晤收愱㙦戸戱愳换㜶㔰㌱晢慤㤰改㤸捥㕢搸㐵㐴づ捡㝤搶昲㥡㘷㥡㜳㠳搶㈹捦㉥㔷㙣搷㈴㌲㘰㘳㌲㔸㌷㙦慥㈲㑡戰㔸㘵っ戰敡づ㕡换㥥攱晡敢〶〳㡡㥢㝢㥢摥㈴㉣㤲戵㘶㙣搷挷㌰㠲㐵愶㠷慤愵戵敡㔵㐴㙣㙢㡥㝢捡㔸昷㜷〴㔶㐸昴攱㈳愸㔱㥡搲㌴㤵搷昲摤攲㠷〷昲㑣㠶扣搷㑢㈰戸捡㘴改㌳㑦搱摥戴敢愳ㄸつ敤㜴捥㘹〰搱愳㝡㘶㑦慡ㄴ㈶愷敡㑦戰捤㤳〰ㅦ㍤㜵昱㑣㈳㌲㜷㕢㌱敢㉣扤晣㈹㌲㕥挸愲ㅥ〸愱㡦㙥㈸㈴ㄵ收㤱㜲挰㠱挰㌸摦㕡挹慦㘰㐹ㅤ㔲摦㔰㈳㜹ㄲ㤱愴〱㙢摥㔸㌱㉢㠸㐷㍢㐶㌰ㄴ扥搰㡣㜵㡣㡡ㅦ㤵捤㔶ㅤ挷㈰㘹㤱㉣㤷㑡〶㈹㜸扡ㄶ㔴捦摡慥㙥〱〸晤㐵㔹挶㌵㘴ㄹ搷㈴㙢挰扡挰搰愰愴搹㔷㜵搵昰散㘰捤戱㑢㜹扥㌰㝣户㈳㘸ㄲ㑣㑥挹ㅢ㍦戱捣ㄸ㙢戱收㉦挲㘴昳㈷㠰敥〹挸㔱㙥ㅤ搱て捡搵㔴づ晦㔴㤷㡥㈵〸ㄸ昱㤴敡扦㠶摥戲㜲㍢〲㈲㐷㥥ㅢ昱ㅤ㡣ㅢ捦㈱㈷ㄴ㐲挴㝡ち㠹挰㉢㤸㄰昲㜴㜱攷慣㡢慥ㅤ〰㝢挴搸㐹㍢㤸昳㠱㜲〰㈴攵㜸㝢户㘰㌵搱㘸扣慥ㄵ敥㙤㉦㙡㔲ㄳ〷摢换㤳㝡攳晤㕢ㄴ㠷ㅡ㈵愱㐸㙥㔶㐹㌴换ㄶ㜳摣㐹慡㐶㠹攲㡥戵㡤㑡㜳㥢㌶昶㥤㔲攴㌶ㄴ㤳搰㑣㐶晦戰㄰ち〲扤㤱㡥愲捦㍥㥤㍣ㄲㄱㅢ摡〰〵敡愹㌰㙦㌰ち〹㥥挱戵㤳戲㔹㠸摥挰摦㐳㔱㜲愱ㄶ㌴㤵ㄸ搷㐶愳㤲改㑡㘵挱㠵㤵㔰㌲扣昲づ㘱㘹慣㉤搴㌰挲㥤摤㙡晦㜰㝢ㄳ㡣ㄸ戱㈱挳㈲㈹㝥㘰戰㈱㤸㉢ㄱ㔱愵㜵㌶挸慤慥㘷攷昹㜶搶㌴㕣挱挰㔲㔰㥥㌳㌷挴っ㙢㔸昲愳搲愰㝥㕡ㄴ㌹慡㕢搳㉢㍥㔴㝡㐰㌹ㅥ愵㠴挱㜵敢〲摤㔲戸挴〰戱ㅢ愵ㄶ㑢〱㐲扢昵づ㜸㌲搸㌹搸挱㡥㠴愱ㄳ㕡㘷㤴愰戹ㄴ挲㙤㕥〴㜹愷㑢㡣㐲㤰㕡昲晣攷㜱昵搲㡢㝣晥昸㜸㈶㑥㐴㑣挴㜰㔷㡡昵〰攴㈶㈳㤳攴愲搱㌸㘰ㅥ㑡㌶ㄱ㕡〳㜱ㅥ㑤㡣㐱㥡㝣㕥㠰㕢㍣㡣㘵つ㤳㙤㉡戸攷ㄶ搸搰愶㤵捤㈱敢㡣㕢慡搴捡愶愸攲㔸㔶㡢㐶摥ㄱ昸㤲㉢㠰㈱㌷愵散㑢戴㈹㘷㜰㤴攲㤲㠹愴敥敤㙥晤㌸㥡㡢㤰㐳ㅦ愱敡㘳〰㌲挵㉤㈷〱戱戶㝢ち戴て昷㌶㉥㌰挸攵㌹㠸戴戶㉣捡戲㜹摣挷慢㐷㤱㠵摢ㄲ搵收慢昳㔵摡散㠹慣搳㜶㤸戵㈳㜰㠴㜵㠶〲㉦㤷㠳㌱搲㈵㜷戰㤳捣㡤㈸扡㝢攳㌹㜹捤摣〰㉡〴〳㡡㌱㕥㥥㠲㌲戹㘹㠰㠳㤳㡦ㅦ挵㉤㌴晥㜷昸挹戱㜳㘶㌰〶㉡慥㍡收搸愳㘳㔳㠷愷㜰㌰〶慦搱㈶搷ㅡ㠶戹㘲㠰㤸挶戹㍥〳愰ㄸ㈹愶捤㡢㥡愱つ㌴㠷㜴慡つ愴㥦㐰つ挶㈷敦挵摦㤴㐰㙡㌲收捡㔰收㈸晣晡挰㉤㤸㡥攷敤攵㉡㜴㔵戰㑦敥㡦挵㔷ㄸ挷ㅤ㥣㤴慡摥㥤㉤㤹㡢㐶㠰㕢㌲敥㠱㤶散改㜲㤹㔶㌱摣㜸㍢〲昹戸攱ㄱ㕡慤晢㕡敥㙥挹㥡㘸〶摥摦㔲㄰摤㈹㥣㥡㥢㌸㙤〴愵戵愵㘰㌳扣摦搵㉤攵㘴晦ㄲ㙥㡢㉤㐷愷㘹摤敢昲扥敡〶昷扥㜰搹慤㕥㜵㘵㕥㔹㥦㤷〳㐱㈵戸㘹搹挷㐹ㄶ㌲扦挴㍦㜹戴㑣昶つ昴戸㥤㘹戳㠳㠶ㅦ㠵晤挸ㄳち㡤㌱愴㔳攸〴㈶㝥晤㜲〱改㘴㕦ぢ㥤㠸扣搸㈵ㄴ㜷昵㙤㈳ㄴ昵㍡搰㑡㘲〹㑦敥搸昳㍦〲晢慢ㅦ㈰㠷〸挷㝢㈴㙤戲敦㐳㉡〵㜵㈲敦愳㥢㈰扣㌷昲晦〷㑢㌱㌷㙦挹㑥晦ぢ捣慣㕥㙢㐵搱㐱愲攸晢㙤㈸㔲扣㉤㈲晣㍢㡦㐴晣㘴ㄹ挵扤愵㜸㌹搷戴㝢㑥㝤挷敦〵晦ㅦ㥥㔳捦㐵挴㈱愶ㅣ㈲㜲て攰㕤㉣〹㐸〱搵搳㘶㈶㌰挶㉦㘶挲〲ㄲ㡡挱晥搰㑣㠸㕣㈵攷㤱㤱㙡㈶㐰昶㘷戲っ〱愶搸㡢㠹㠸㙣挲晢挱㠳摡㥤づ摤㘸愷㜱㍦搷昴ㄱ昶㠷搲昲㘷攱戸摡摦㥥扤㘸㜸㠶㜳㐰昲㑦㜹㈶㤴㤹户㡣ぢ摦搲㠴㉤敥摥戲㐴ㅡ㙤攱搲㠸㥤昱扢㙥㤷敤㕤㜳〷愶挲㈷昴昲慢扣捡摤㠶㐳㐵挹晤挶昰㈴昸攲昱ㅣ〵ㅥ㉤〸搰搱㈳ㄸ愵㥢挸㍥敤〹挴㝥ㄳ昷㐹敥攰昷㍢㘷昱㈵㤳扤㕥㌱㘷っ㑦慣㈰㕦㜷攲㘴㐸㜸〹挲っ㠹㙦㈷㤸㤸戸ㅥㄱ㥡㤸ㄳ㉤㕥㔱昹晥㐹㍣㠹ㄳ㠹㠹㡢敢㉦㡥㉥慡㡥㡡慣㑢㙢㌳晢㘷㔰㐵户㌸㤱㘶㉢㤱㠷㔳㍥㑡㝤扢㔵搷ㅤ㡤㔱㥦㔱扣ㅤ㄰㑢㈹㠴㈹㐸㈱挹挳っ敦つ㠸㤴㕡㐶㈲晢㈸㐰㑡〰慥㌵ㄲ㑣户挱慥㄰㌰敢㜷〳扢晣搶〵扢㐸つ挲捦㕣㙥㠳昹㘹㡢挶慡㠹ㄱ㕤戱㘹㉥㈲㈱㠷ㄷ㘶㑣挶戹㤷㤰㠸㥦㉣㑦戶摢昶㕡㜱㤰㐱㈷㡣捦㠵㡣㥤㜵攸㤲㉢㌸㈷摣ㅡ㉥㠸㐰捦攴㐴㘱戸㝢㤹㡤〳愹㠴昲挲慡㠵㌰㡢㜰㌸㑣搶ㅢ昵㐷㐵搰㔹敥〱㥣㑡ㄱ㈳攴〷㐵㉣ㅦ㙦㜴㝤㐷㙢〹㜵㥣摢㠷〵昲〷晢敢㘰ち㘳㘳㔴㜲っ㈴散戶㙡攵挳㕢攴㑦愱〹ㄷ㥤㔱㝡㈳㈹敦㡡愱散㤸戳㝡戴㌶晤捦㈰户㜰搶挷搹㥡搱敥㈶晤晦㐹㘴摣㔴晦㉢㠶攸〴㤱㑦㐷〹扥㘴ㄹ㘶戹㘹㘴㠷㍢〲〷㌸㘲㍣㜲㌰搶㈵挹挸㜸㤸㕡挲㌷慥㘱戱㐸㜰戸挷㝡㕢㙦㔰搴摢搲戶敤敦㈸〰ㄹ㐲捡㝥ㅤ㈲愸㘳晢㘶戹挵摥昸攴㍥つ戰敦慣㕤昲慡㝥搵ち挶㤶㄰ㅢㅥ攳㈷㙡ㄶ㙣㥥㘹昵㙡慢㔰扢ㅦ㍢㌱㔰㐴㥢㜳ぢ㄰搸昰搵扣㕤㈱㑢〶㈰戶ㄷ昰攰攷㑡㈳㠹㈸ㄴ戵㠳扦挷㍡㕦㌳㉡昸挲㜵〱㉥搱㠰㔹㍢㐲搹㠵㡥改搶㡢ㅣ摣㍡㕣攵晡ㄸ晣㐱㘶㘵〲㌱㌴㔹挲搳㥦收扥戶敥㐱㜳摤㘸㙤㍥㙢㜶攷㥡㉢㘴㕦〱㑥户㌷㑡㌳挹㜰㑣㝥戸㕣搰つ㐲ㄸ㌴挷昱㜷晢㝥㕣昶㌶ち㍡㡦扥晢愶㈳㙣扣〲昷搹㌶㠲攴㉢㘸慡挴搳㠷㠴㕥攲㕢晣㥢㐳㠲慣愸㕥挶戲挸〰㐸㘷㜲㈶㐰㘷慡㝥㘹㉢慡㔶㈷搸ぢ㝥晡㉡㝢㠸㝥㈳昱㠱㔴昱攴㐱㈲㉤愸慦愰㌹㌷㌱摣っ㥢㜹㌸㠹挸〹〳㘹㍤㙥㠱㜴㐶昱㠴㈱搳晢㍤㌴愸㑦慦㠲摣捥搳晢摤㉤愷㐷摢㐰愶㤷散㝦㈴搶㉤㝡ㄵ挵晡㍡挱ㄵ〲て㘰㈴㔶㌱挳㤴㥡ㄴ㐵戹搰㉣㝤㠳㠸挳昳て搱摦户㡥晦昰㑤㍥晦㝥㕣㠹㥣㐴㔱昳㉡㈸㈷㘵ㄵ㕦㑣慥愲㠶摣捥慢昸捤慤㔶㌱㐲ㄱ捡㤹攸㔷〱〶㝢㤴㠱㍦戲慡㙢㐸㜰㐳昹㔳㠲㙦㈴㥡㘶㌱㐲扣㑢摢捦㈰㌱搸㌳㐲㍣搱㘱愳㝦㤶攰㍡挱攷〸㍥㑦昰ㅣ挱昳〰㠳㥡㈲㡡㘴㤰㕦㐷㈲ㅥ㈴换ㅤ㑢昹㤶㐸散㉣摥扢攴㄰戹搰愹㥢ぢ戵㙢摥㠹扣戹㍢㐲挶㘰㐹戴㕡㍡慡㠶㕣㤷ㄷち搴攷㘳っ㥥㍥ㅤ㝦愸愵㐵㈱㉥㔰㤰㥣㘹ㄴ㈹㡥ㅢ愹㍥ㄷ㔷晥敥㙢つ搷㉢ち昰㠰捣挲捡愴㑣愹㝣㍤慥㍣㠵㡦挰愴㑥㐶ぢ晦㘴摥㡡㉢㤳㠲愵昲㘷攳捡晦㌶㜵愰㕥㌹㈶搸戰攷㉣愹㈹挵㘶㤶㔳㐴攲㠳昰㘱㔴捦㕡搴挳晤㔶㤸㑤〹㉣㤱敡㡡㘸攲〱摣㍤昱昰㐹昶㍣慥㔲攱挶〹㠴㜵昸㝦㘶㌸㠳㉢㔶㜳㐶㘰攰㡢敢つ挴戶㍤㕤摥搸㌸㘷㉤㜸挸攸戳捥昸㌸㥢㤵㜷ㄴ㠹挰慣攸つ昷昷㈶捥晤ㄴㄳ戴戱ㅦ㜱㑣㑥攳㤵㤵敥㤴㤰〴㘹㝡搵㘶㡣搹捣昳つ㥡搱㝦〳挸㠱㍣〵㘴㐲晦〲㘰ㄸ搴攱攵攸捣〸〵㠵㐸㠱摦㘲挱ㄷ〹扥〴㔰㔰㤴ち愴㠳摣㤷〱㠶攳晦㉦挶搸㠶昸㕤㌴㜵㈵ㅥ㉣㐹㐶晡㙦戳挱敦〰昴挰つ慣㘴㤳㜰〷㐲㝦〱㌹㠹㐱戳㤴㌰扦摡搹慥攵戱㌵晥㔶ㅦ搱换愶㡦昲㑦攰㈳晢㑤㜶摣㠳晦挷㐸㔶㡣昰㕥敤挹敥晡㈲愱搱㝥㤶㕦〵ぢ扡㡤㝥戸挱㡤㘸〷㝢愴㘴㉣㈸捡㔱㉥㔷㕤㐶晦ㅣ㘳㡦㘴㔳戲㑡昶戳㔱㌶㙦㠸ㄴㄴ㘵慤㘴摢㔱昶㝥挹愶昴㤵散戵㈸晢㈱挹㝥㍥捥㕥㡤戲ㅦ㘶昶〸挵戲愰昴㈵㈴昴慦ㄲ扣捣㠲㉣㐹㘱摢㌴挹〵㜵㘹㕦㝣つ㑤ㄵ〹㡤㝤攸扦ㅦ㈵昸愲㐸㘵戲ㄲ㈳㥡㌲昵㘰㕥换㈹㔲㥥ㄴ㍣ㄳㄵㅣ㤳〲愵㐸㡤㔲㔰㡣ち㡥㈳㐳㝦ㄵ㐰㤱摡戸㈶晤て昹㐶㈲㤳〱扦㡥〴㈹㠴㍦挵㍤㤰收㑦户っ昸搵戸攰㤳㉤〳㜲慦愴挵㈷㤲〳㝥㤳㥤挹挲㤰㘸㔶愴㕣愰散昷㥦㈰㌱搸㌳捣戹㍤㠵㥦㜶㑤㤵㥥㈹㍦昳捣捦㠷㝢挷敥敥晤昸㐷〶㕥㝣敢敦㝦昶挲㡦㍦㜵散㕦㝦昱昲换㍦晥攷ㄷ摥晣挵㕦慤ㅣ晢摢㔷㕦晤㥢㡦晥挱㥢㍦摢㙢扤愲扤昶昳昹㔷慥㑦㕥扥㝥挵扡昸挸愹敢㥦㜸昶晣攴攲㥥昱㥥㥥扥扥〷㐷晦敥慥㠷㐶㥥扦昲扡晡敢㝦摣敦㉡㔹㉥〶搰晦ㄴ㐰戶ㄵ㝦㐷戸㙣㤹挶户㔸昴㙤㠰㐱㙤㤸搳㝥㐷攷挲㌵换㙥㕤㠸㜶㙢〶ㄹ㜹㤵ㄹ攱摣㘴㍡摦㐱〲愶〹㘷㈵ㄵㄷ㥢㉢㉡捥㔴ちㄶ愲㠲ㄱ㘴攸摦〳挸戲㘹捡搵摥㠶㄰捤戳㠹㥣摡㈹㑥摢㑦敥㝢愲㑢㄰攳昵㍡㝢敢㌹昵〳晢㔰㍤㑢捥攰户㝡㘶挷㘲戹摥捣㝤㥤㠵ㄱ㍤〲戱扣捦慢㙤㔷㡣捥敤㝦㡥捥㌹㠲搲敢㈹㜹㔵摣㉢攱㠳扦㐰㈲换挲㙤㜴㑤扡改㤲扦扦㡦愶㡡㘳〹扢扤㠶〴ㅦ㤹㡢ㄴ攱㐵晦〱㐰㥤㌴攳㉡㈳捣㘵㍤晤㜵〰㄰〵晦㑣昱晤つ㠰〲㑦〹㉡㤱㤴昷㘱ㄶ㔱㤶戶㔸摢つ㉢扢晦㝦〰挱㑤㡤ㅥ</t>
  </si>
  <si>
    <t>㜸〱敤㕣㕢㙣ㅣ搷㜹㥥㌳攴㉥㜷㤶愴㐸㠹戲㘵㌹㡥捣搸㜱㝣愱㑡㡢㤲ㄵ㕦㕡㔵攱㐵户㠴ㄲ㘹㤱戲㤳戸挱㝡戸㍢㐳㡥戵㌳㑢捤捣㔲㘲愲挴捥㕢㉦㘹㤰扡㈸㔰㍢㑥㘳㌸㐱搱愴㑤㡢㕥攲搸㐵㕥ちㄴ㘸㔱㌸㐰ㅦ搲㠷〲㝤㌰㠲愲㝤攸〵〲摡㠷㍣〴㐸扦敦㥦㤹摤搹㕤敥㠸㕡搹㉤㕤㜰攴晤㜹收摣捦昹慦攷晦捦㔸㔳㥡愶晤ㅣて晦昲改㘷攲㥥愵捤㈰戴摣挹搹㕡戵㙡㤵㐳愷收〵㤳搳扥㙦㙥捥㍢㐱搸㠷ち昹㤲㠳昲㈰㔷ち㥣捦㕢㠵搲㠶攵〷愸㤴搳戴㐲挱搰㔱捥㑥昸ㅢ㑤㕥っ戶ㅡ敡〷㔸㥥㥤㔹㔸㜹〱扤㉥㠵㌵摦㍡㍣晥㑣搴昶挴搴搴攴搴攴㘳挷㡥ㅥ㥢㍣㜲㜸㝣戶㕥つ敢扥㜵挲戳敡愱㙦㔶て㡦㉦搶㔷慡㑥昹㔳搶收㜲敤戲攵㥤戰㔶㡥ㅣ㕢㌱ㅦ㝢㘲敡戱攳挷敤㈷㥦㝣㘲〸㐳㙢ㄷ㘶㘷ㄶ㝤换づ摥愳㍥㜳㥣昲㘳㜳㔶搹攱摡㉣换㜷扣搵挹搹ㄹ晣㤷㥡㍦摥ㅥ㥦㕣㕡戳慣㤰㐳㕢扥攵㤵慤挰㐰挳㐱㜷㍡〸敡敥㍡㌷捦㜰㑦㘳愹㘵㌳〸㜳敥慣㔵慤ㅡ㙥搲㙢挱㕤挰摥㔵捤捤㈱㜷挹昲〲㈷㜴㌶㥣㜰㌳敦㉥愳愳捡戰㝢㈹戰㉥㥡摥慡㜵挱㜴慤㥣㝢愶敥㔴晡愳㐷敢㝢㌰改㈲㍤㌱㔹晥攴㜴攰捥慥㤹扥捣㈸攰挶㘴搴㍤敤㤷㕢敢摥摦扤㕦㑥㕤㐶㘰㥦て㜴慦㠷㤲㘷㑣扦㔱㜳愲㝢捤㜸昱慤㌳㜸戴㝢晤搴ㅥ戵戶㜹戸㝢ㅢ搹捡搶摡㙡㌰愶㙦搹㔱㉣挶挸ㄳっ㄰ㄴ〸㠸㐰愳㐸㌰㐸㌰〴愰晡晦ぢ㕣㤲㙥挸㈲扤㘴敡愵ㄵ扤㔴搶㑢ㄵ扤㘴改㈵㕢㉦慤敡愵㌵扤攴攸愵ㄷ昴搲㘵搴㐹㥥挲挰㠰ㅥ㍦ㅦて㥦昰扥昶㤴昷㠹慦づ晤㌰晣挶㝦晦挷㍤㐳㝢㔰改改㜸㔲㜳扥㜹ㄵ愴搶愴攲愳㤳㐷昸敦收㕣〱愶戰㡦摢㡦摢㔳㔳㤵攳㐷捣㘳㘶㡥换捡㐰㝥ぢ愱㡣愲敥㤰晤慣攳㔵㙡㔷〵㜷昷捣㤸㠱搵摣戸㠹戸㙣愶㔶昷㉡挱㠷戶㉥㕣ち捤搰扡扢扤慣搹㐹㐷戳㈵戰㤵ㄵ挸㜸㠷摡㥢㍤㘳㔶敢搶昴㌵㈷㉡晥㜰㕢戱扢攸搷㔶扡㤷㥥昶慤㉢㡤搲㡥ㄹ㑤㐳愸㙤㐸摦ㅤ慢㡣㡡愲㜹㡤捦慥搵〲换㤳改㑤戸㡢㑥昹戲攵㉦㔹ㄴ㠹㔶㐵㤶㝡〷㡢㘲慥㥦㔸昰戰㔰㜰㙢攵扥㜴慥㝤敡㕡〸㘶戶㉡㤸敦扡攵㠷㥢换收㑡搵扡戳愵㑡㌴㈶ちづ戶㘴㥦慥㤵敢挱㙣捤ぢ晤㕡戵戵㘴扡戲㘱㐲搲㔴捥搷㉡㔶㝦扦㈶㐲〱〲户慦㑦㈹敤㤱敥扣㈰㠸㐸愱㤸㡣㝣㔷㉢搹㑤㕥挴敡戰㡡慡㐵㥡搴㍦㝡㤳捥㌸㕦㤱㌱ㄹㅣ㤸㕡ㄳ昵〷〷㝤攸㈶摤㌶㌰昷晥㔶搶昵戱㜸昵愷㌶㉣㉦㍣㙢㝡㤵慡攵㘷㙡㍦挵ㄹㄹ㈳〰戹ㅢ㄰〸㕤㜷㡦慡㑥㕤㔳㥢戹慢㑥㈵㕣换慦㔹捥敡㕡㠸㍣㘸挸㐲㠱㕢摢昱ㄸ㝢㤱㘵散㈳ㄸ〳㈸ㄶ戵晣㝥㔶捡ㄷ昱㘸㌹㑡愷っ㕥㙥ㄱ攴㙣搷挲换㐳昶㘹愷ㅡ㕡㤱㔰ㅥ戱㠱㤱㐸慢〹晡㠶㐹愲扥㔹㡥ㄴ挶㝥㝢ㄶ㔴㙡㍡㕥戸搹攴摢づ㉥㠹㠸㘸㔷ㄶ散㌸㔹㐰㔱搰㉡て㌲㜸つ㐴搳㈶つ戲㉢愷㠸㠸㙣㤰愱搹搱㜳㉢㤱戱㝥㠶㡣㐰晤㌴ㄱ戲昶㤱敥㌲㠲挴摥㐹愴㙣搴㤵ㅦ㜷愵搹㔶戶㝣㈴捤敥挰挶ㄹ㜷ㄲㅣ㈰戸㡢攰㈰㠰晡ㄷ㐸㌸㑡㌹愴㕢ㅦ攳㐳㜸㌷敥㈱昸㌰〰攴㤳㐱㤹ㄳ㡢㉡摡㔰摢戱㈳㔹㙦ㄸ㜶戲ㄸ挵㤱㈸愲㘵摣戰㌳㠷㕤㐱㜴㙣㜵敥っ㕤摢㉦㍡昶㘳摤㘹㌳扤ㅣ㔲㘴㐶搵昴㕡㙦㔲㌵扤ㄱ慣摡愳摥扡ㄷ㑤㡤㜱㠲㡦〰ㄴ㡤晢〸愱㕣㘸昰㙥捦愲愷㐹昹㠱㌰㡢㈲㘳愸㐷〵ㅦㄳ㌲㡦〰ㄹ㐲慥攳昸戲㙢㐳搳ㅣ㥣戰㍦昰㌶昴攱敥晣ㅤ㈳扤㑤㙦敥敡ㅤ晡㡢㙥搱㡡扥ㅦ散愵晥愹慢㡥㜹〰挵挶挷〸ㅥ〴㘸搳㌱㍣㝤摦慡愷㐰捣㘲㌷㠵戹㝤昴扡㠸㤵扢扣戹㙥㠹〶ㅡ戲㤷㑤㝦搵ち攱挱㌸㌷〷㕢戸收晢㔶ㄵ㠷摡㡡㘴昰晣㜲愰㌵㌳㌸敤搷㕣收敦摡挸挱〷㐲㌱昴昷敢㝤㕡㥢㡤㥣㘱㙢愶㝣㑥㈹捡愱づ㍥搶㕤㐸愴ㅡ戵㤲ㄷ摢㘵㥦㉦㜷㈵㐹て㤲攴㘱㙣慢昱〸〰愴㠴晡㠷慥ㄲ攵㌰慢晤㠲㔴㙢戵㔸改攱换㌸㥤戴昹㄰㍢攴挸㘰攴戰㥤㠱晦㈰ㄸ㜶㤷ㅣ户㈱㉣〶摤㐵换㉦挳户攰㔴慤㘲攴㤶愵愸搹㤵ㄵㅦ㄰㔹搱搷搷㜱㥥捥昰慦〹㥤戴㐹㠹㑣㙥捦㉣捣㌸㡢㌷㠹㡡㙥㐸ち㤵っ搷㔰㐳〲㤱昲㔸㜷㔷挴昴㈰㘲ㅥ挵挶ㄹ㐷〸愶〸㡥〲攴㝥〴㐹戳摤㡤㘷㌸㙣㘰㠳㉥敤㔲㐹㉢㄰つ攲㈲㝣愷慢戰㍡捥㘱㍥㑥昰㌸㐰㥢昹㐳〷㘴〶㈱ち捡㔳㠴㈸㘱っ晢ㄹ挷扡㑡ㅡ搸㘳㈳戰㌴㕢て挲㥡换挸搲戰㍤㔷扢㔰ぢ攷㥣㘰ㅤ㤱愸㌱㍢㑥㍣扢㘶㜹愰㉥ㅦ戶㑦㕢㕥㙤㝤摤慡ㄸ昶㔲慤づ搱㜶㙥㙥㈷ㅣ捣戱ㅤ戰㈵攵㙣慥㉢㍣扤㥤㡦搱㠵挲㑥㡢扦㤵摥搸㙤㜹扦㜹攸ㅢ㘹敥攸戲ㄳ㔶慤㐱㍢㘲㍡愶ぢ㌶㜶ㄱ㤱㠳捡㠰扤扣收㕢搶摣戰㝤挶㜷㉡㔵挷戳㠸っ搸㤸っ搶捤㕢慢㠸ㄲ㉣搶ㄸ〳慣㜹挳昶戲㙦㝡挱扡挹㠰攲收扥㤶㌷〹㡢攴散ㄹ挷ぢ㌰㡣㘰㤱改ㄱ㝢㘹慤㜶ㄵㄱ摢扡敢㥤㌱搷㠳ㅤ㠱ㄵㄲ㝤昴〸㙡㤴慥㜴㕤ㄵ昴㐲慦昸攱㠱㕣搳挸㝢晤〴㠲㉢㉤㐷㥦㜹㠶昶愶㕤ㅦ挷㘸㘸愷㜳㑥㐳㠸ㅥ㌵㌲晢㌲愵㌰㌹搵㜸㤲㙤㥥〲昸攴㤹㑢攷㥡㤱戹摢㡡㔹攷攸攵捦㤰昱㐲ㄶ㡤㐰〸㝤㜴㝢㈲㔲㘱ㅥ㈹〷ㅣ〸㡣昳慤㥤晣㡡戶搴㈱昵敤㘹㈶㑦㈳㤲㌴㘴捦㥢㉢㔶ㄵ昱㘸搷っ昷㐴㉦㌴㘳㕤戳ㅡ挴㘵戳㌵搷㌵㐹㕡㈴换愵戲㐹ち㥥慥㠷戵昳㡥㘷搸〰㐲㝦㜱㤶㜹つ㔹收㌵挹ㅡ戲㉦㌲㌴㈸㘹昶㔵㕢㌵㝤㈷㕣㜳㥤㜲㠱㉦っ摦敤〸㥡〴㤳㔳昲㈶㑦㈲㌳挶摢慣昹㑢㌰搹㠲㐹愰㝢ㄲ㜲㤴㕢㐷昴㠳㜲㜵㤵挷㍦搵愳㘳〹〲㐶㍣愵挶㉦愱户㥣摣㡥㠰挸㤱攷㐶㜲〷攳挶㡢挸㠹㠴㄰戱㥥㐱㈲昰ち愶㠴㍣㕤摣㜹晢㤲攷㠴挰ㅥ㌱㜶摡〹攷〲愰ㅣ〰㐹㌹摥摥㉤㔸㑤㌵㥡㘸㘸㠵㝢㍢㡢㕡搴挴愱捥昲戴摥昸攸ㄶ挵㤱㐶㐹㈹㤲㥢㔵ㄲ捤戲挵ㅣ㜷㤲慡㔱愲戸ㄳ㙤愳戲摣愶捤㝤愷ㄴ戹つ挵㈴㌴愳ㄹ扦㉣㠴㠲㐰㙦慣愳攸戳捦㈶㡦㔴挴㠶㌶㐰㤱㝡㉡捡ㅢ㡥㐳㠲攷㜰敤愴㘲ㄵ攳㌷昰昷㥥㌸戹㔰て㕢㑡捣㙢㘳㜱挹㜴戵扡攰挱㑡㈸㥢㝥㘵㠷戰㌴搶ㄶ㘹ㄸ攱捥㕥戵㝦戴扤㈹㐶㡣搹㤰㘱㤱っ㍦㌰搸㄰捣㤵㡡愸搲㍡ㅢ收㔶㌷戲ぢ㝣㍢㙦㤹㥥㘰㘰㈹慣捣㔹ㅢ㘲㠶㌵㉤昹㌱㘹搰㌸㉤㡡ㅣ㌵散改㤵〰㉡㍤愴ㅣ㡦㔳挲攰㠶㝤㤱㙥㈹㕣㘲㠰搸㡤㔳㡢攵㄰愱摤㐶〷㍣ㄹ散ㅣ散㘰㐷愲搰〹慤㌳㑡搰㝣〶攱戶㉥㠲扣搳㈳㐶㈱㐸㙤㜹晥昳愴㝡昵ㄵ㍥摦㌹愹㈵㠹㤸㠹ㄸ敥捡戰ㅥ㠰摣㜴㘴㤲㕣㌴㤶〴捣㈳挹㈶㐲㙢㈸挹愳㠹㌱㑣㤳捦て㜱㡢㠷戱慣ㄱ戲㑤ㄵ昷摣㐲〷摡戴扡戹挷㍥攷㤵慢昵㡡㈵慡㌸㤱搵愲㤱㜷〴扥攴ち㘰挴㑤ㄹ晢ㄲ㙦捡㌹ㅣ愵戸㘴㈲愹㜷扢摢㌸㠹收㈲攴搰㐷愴晡ㄸ㠰捣㜰换㐹㐰慣攳㥥〲敤挳㝤捤ぢっ㜲㜹づ㈲慤㈳㡢戲㙣ㅥ昷昱ㅡ㔱㘴攱戶㔴戵昹摡㝣㡤㌶㝢㉡敢慣ㄳ㘵敤〸ㅣ㘱㥤㤱挰换攷㘱㡣昴挸ㅤ散㐴扢ㄱ㐷㜷㙦扣㈸慦摡つ愰㐲㌰愰ㄸ攳攵㈹㐸换㑦〳ㅣ㥡㝡晣㌸㙥愱昱扦㈳㑦㡤㕦戰挲㜱㔰㜱捤戵挶ㅦㅤ㍦㝡攴㈸づ挶攰㌵摡攴㝡搳㌰㔷っ㄰搳㌸㌷㘶〰ㄴ㈳挵戴㜹㔱㌳戲㠱收㤰捥戴㠱㡣㔳愸挱昸攴扤昸㥢ㄱ㐸㑤挷㕣ㄹ捡ㅣ㠳㕦ㅦ戸〵搳昱扣扤㕣㠳慥ち昷换晤戱攴ち攳㠴㡢㤳㔲捤扦戳㉤㜳搱っ㜱㑢挶㍢搸㤶㍤㕤愹搰㉡㠶ㅢ㙦㐷㈰ㅦ㌷㍣㈲慢㜵㝦摢摤㉤㔹ㄳ捤挰晢摢ち攲㍢㠵㐷攷㈶捦㥡㘱㜹㙤㈹摣㡣敥㜷昵㑡㌹戹扦㠴摢㘲换搱㘹㕡昷㝢扣慦扡挱扤㉦㕥昶㙡㔷㍤㤹㔷㉥攰攵㐰㔰〹㙥㕡づ㜰㤲㐵敤攷昸㈷㡦慥攵摥㐶㡦摢㤹㌶㍢㘸晡㔱搸㡦㍣㤱搰ㄸ㐷㍡㠳㑥㘰攲㌷㉥ㄷ㤰㑥昶户搱㠹挸㡢㕤㐲昱㔶摦㌳㐲㔱㙦〱慤㈴㤶攸攴㡥㍤晦㝤戰扦晡〱㜲㠸㜰扣挷搲㈶昷ㄱ愴㌲㔰㈷昲㍥扥〹挲㝢㈳晦㝦戰㤴㜰昳㤶散昴扦挰捣敡捤㜶ㄴㅤ㈲㡡扥摦㠱㈲挵摢㈲挲扦昳㐸㈴㑦㡥㔱摣㕢㡡㤷㜳㑤扢攷搴昷晤㕥昰晦攱㌹昵㐲㑣ㅣ㘲捡㈱㈲昷〰摥挵㤲㠰ㄴ㔰㝤ㅤ㘶〲㘳晣㘲㈶㉣㈰愱ㄸ散㡦捣㠴搸㔵昲㌴㌲㌲捤〴挸㝥㉤挷㄰㘰㠶扤㤸㡡挸愶扣ㅦ㍣愸摤改搲㡤㜶ㄶ昷㜳慤〰㘱㝦㈸慤㘰ㄶ㡥慢〳㥤搹㡢愶㙦扡〷㈵晦㡣㙦㐱㤹昹换戸昰㉤㑤搸攲敥㉤㑢愴搱ㄶ㉥㡤挴ㄹ扦敢㜶搹摥㌵㜷㘰㉡㝡㈲㉦扦㉡愸晣㙤㌸㔴㤴摣㙦㡣㑥㠲慦㥣捣㔳攰搱㠲〰ㅤ㍤㠲㔱㝡㠹散搳㥥㐰散㌷㜵㥦攴づ㝥扦㜳ㅥ㕦㌲㌹敢㔵㙢挶昴挵ちちっ㌷㐹㐶㠴㤷㈲捣㠸昸㜶㠲㠹㠹敢ㄱ㤱㠹㌹搹收ㄵ㤵敦㥦挴㤳㌸㤹㥡戸戸晥㤲攸愲敡慡挸㝡戴㌶㜳㝦っ㔵㜴㡢ㄳ㘹戵ㄲ㜹㌸攵愳搴昷摡㜵摤昱〴昵㥡攲敤㠰㐴㑡㈱㑣㐱ち㐹ㅦ㘶㜸㙦㐰愴搴㌲ㄲ戹㐷〱㌲〲㜰敤㤱㘰扡つ㜶㠵㠰搵戸ㅢ搸攳户㉥搸㐵㙡㄰㝥收㜲ㅢ捣㑦㕢㌴㔱㑤㡣攸㡡㑤㜳〹〹㌹扣㌰㘳㉡挹㙤戱㜴㜸戲摤戶搷㡡㠳っ扢㔱㝣㉥㘲散㥣㑢㤷㕣搱㍤攵搵㜱㐱〴㝡㈶㉦ち挳摢挷㙣ㅣ㐸㈵㤴ㄷ㔵㉤㐶㔹㠴㈳㔱戲搱㘸㌰㉥㠲捥昲づ攲㔴㡡ㄸ㈱㍦㈸㘲昹㐴戳敢㍢摡㑢愸攳扣〱㉣㤰㍦搸㕦㠷㌲ㄸㅢ愳㤲㘳㈰㘱户㔵慢㄰摤㈲㝦ㄶ㑤戸㘸㑤ㄹ捤愴扣㉢㠶戲ㄳ捥敡搳㍢昴㍦㠳摣挲㔹㥦㘶㙢㐶扢㕢昴晦㘷㤱㜱㔳晤慦ㄸ愲ㄳ㐴㍥ㄷ㈷昸㤲㘳㤸攵愶㤱ㅤ敥〸ㅣ攰㠸昱挸挱搸㤰㈴㈳攳㔱㙡〹摦戸㐶挵㈲挱攱ㅥ敢㙦扦㐱搱㘸㑢摢㜶戰慢〰㘴〸㈹昷㙤㠸愰慥敤㕢攵ㄶ㝢攳㤳晦ㅣ挰晥昳㑥搹慦〵㌵㍢ㅣ㕦㐲㙣㜸㥣㥦愸搹戰㜹愶搵ㅢ敤㐲敤㝥散挴㔰〹㙤㉥㉣㐰㘰挳㔷昳㕥㠵㉣ㄹ㠰搸㕥挰㠳㥦㉢㡤愶愲㔰搴づ挱㕥晢改扡㔹挵ㄷ慥ぢ㜰㠹㠶捣摡ㄱ捡㉥㜲㑣户㕦攴攰搶攱㉡搷愷攰て戲慡㤳㠸愱挹ㄲ㥥晢ㅣ昷戵㝤て㕡敢挶㙢ぢ㔸戳㌷搷㕣㌱昷㍡㜰扡扤㔱㕡㐹㠶㘳昲挳攵愲㘱ㄲ挲愰㌹㠹扦摢昷攳戲户㌱搰㜹晣摤㌷ㅤ㘱ㄳ㔵戸捦戶ㄱ㈴㕦㐱㔳㈵㥥㍥㈴㡣㌲摦㤲摦ㅣㄲ㘴㐵昵ㅡ㤶㐵〶㐰㕡换㕢〰摤愹晡搵慤愸㕡㥤㘲㉦昸ㄹ慢散㈱晥㡤㈶㘲㕡昱攴㐱㈲㉤慡摦㐵㜳㙥㘲戴ㄹづ昳㜰ㄲ㤱ㄳ〶搲㐶搲〲㘹㑤昱㠴㈱搳晢ㅤ㌴㘸㑣慦㡡摣敥搳晢敤㉤愷㐷摢㐰愶㤷敥㝦㌴搱㉤㐶つ挵挶㍡挱ㄵ〲ㅦ㘰㠴挲㤲ㄲ㈸ㅦ㔹愳㙦ㄳ㕦㜸晥㍥晥晢敥挹ㅦ扤挳攷摦㑦㉡ㄱ㡦㈸㙡㥤㍣挵愳㑣晥㉢改挹搷㤱摢㝤昲扦扥搵攴㐷㈹㌹㌹ㄳ攳㉡挰㜰㥦㌲昱㐷ㄶ㜳つ〹敥㈳㝦㑡搰㡣㐴换㉣㐶㠹㙥㘹晢㜹㈴㠶晢㐶㠹ㅥ晡㘹㡣㉦㄰㕣㈷昸㈲挱㤷〸㕥㈴㜸〹㘰㔸㔷挴㡣っ昲㘵㈴㤲㐱㜲摣愸㡣㑦㠸挴扣攲㜵㑢づ㤱㡦㝣戹昹㐸愹ㄶ摣搸㠹扢㈳㐴ぢ㤶㐴㘳愵慢㐶挸昷㜸㡦㐰㝤㈹挱攰搹戳挹昷㔹㝡ㅣ搹〲〵挹㔱㐶㤱搰戸㤱敡㡢㐹攵㍦㝤戳改㜱㐵〱ㅥ㤰㔹㔴㤹〴㈹㤵慦㈷㤵㡦攲摢㉦愹愳改搱ㅦ敤摤愴㌲〹㔷㉡㝦㈱愹晣㙦㐷て㌶㉡㈷〴ㅢ昵㥣㈳㌵㘵㤸捡㜲㜸㐸㝤〷㍥㠲敡㌹㥢敡㜷搰㡥戲㈹㜸㈵㐰㕤ㄵ〵㍣㠴㉢㈷㍥扥挴㥥挷つ㉡㕣㌴㠱㡣㡥晥㠷っ攷㜰戳㙡捥っ㑤㝣㘸扤㠱㤰戶㙦挸ㅢㅢ攷敤〵ㅦㄹ〳昶戹〰㐷戲捡㡥㈲ㄱ㔸ㄳ晤搱晥摥挴愷㥦㘱㜹㌶昷㈳〹挵改扣愹搲㥢敥㤱搸㑣扦摡㑣㌰慢扤搴愴ㄹ攳㔷㠱ㅣ㠸㔱㐰㈶㡣㕦〳㡣㘲㌹扣ㄳ慤㡤㔲㔰㠸ㄴ昸つㄶ㝣㠵攰㌷〱㡡㡡㔲㠱㜴㤰晦㉡挰㐸昲扦挳ㄸ摦㄰㜷㡢慥慥㈴㠳愵挹挸昸ㅡㅢ晣ㄶ㐰ㅦ扣扦㑡㌶〹㔷ㅦ㡣㤷㤱㤳ㅡ㌴㐷〹昳㡢摤捤㔹㥥㔶㤳㑦昴ㄱ戴㙣昹ㄶ晦ㄴ扥慤摦㘴挷㝤昸㕦㡢攴挴昶敥搷㥦敡慤㉦ㄲㅡ捤㘶昹㔵戱愰摢攸㠷ㅢ摣っ㜲戰㐷㑡挶愲愲ㅣ攵㜲搵㘵昴捦㌱昶㑡㌶㈵慢㘴扦㄰㘷昳㘲㐸㔱㔱搶㑡戶ㄳ㘷ㅦ㤰㙣㑡㕦挹㕥㡢戳ㅦ㤲散㤷㤲散搵㌸晢㘱㘶㡦㔲㉣ぢ㑡㕦㐵挲昸㍡挱㙢㉣挸㤱ㄴ戶㑤㤳㕣㔰㡦㘶挵㌷搰㔴㤱搰搸㠷昱㝢㜱㠲㉦㡡㔴㈶㉢㌱攳㈹㔳てㄶ昴扣㈲攵㐹挱昳㜱挱〹㈹㔰㡡搴㈸〵愵戸攰㈴㌲㡣㌷〰ㄴ愹㡤㙢㌲扥挵㌷ㄲ㤹っ昸㙤㈴㐸㈱晣㈹敥㠱㌴㝦慥㙤挰慦㈷〵㥦㙤ㅢ㤰㝢㈵㉤㍥㤳ㅥ昰て搸㤹㉣っ㠹㔶㐵捡〵捡㝥㝦ㄷ㠹攱扥ㄱ捥敤㔹晣昴㙢慡晣㝣攵昹攷㝦㍡搲㍦㝥㜷晦愷㍦㌱昴捡扢㝦昷㤳㤷㝦晣㉢㈷晥昵㘷慦扤昶攳㝦㝥昹㥤㥦晤㜰攵挴摦扣昱挶㕦㝦昲㥢敦晣㘴㥦晤扡晥收㑦攷㕦扦㍥㜵昹晡ㄵ晢搲㈳㘷慥㝦收㠵愷愷ㄶ昷㑥昴昵つっ㍣㌸昶户㜷㍤㌴晡搲㤵户搴㕦晤攳〱㑦挹㜲㌱㠰昱㠷〰戲慤昸㍢捡㘵换㌴晥㠸㐵摦〳ㄸ搶㐷㌸敤昷㜵㉥㕣戳散搶挵㜸户㘶㤰㔱㔰摡㈸攷㈶搳昹ㄳ㈴㘰㥡㜰㔶㔲㜱戱戵愲攲㑣愵㘰㈱㉥ㄸ㐵㠶昱㘷〰㌹㌶捤戸搱摢ㄴ愲〵㌶㤱挳㍡挵㘹攷㠱㝤㙦㝣昷㘱愲㔱㘷㕦㈳愷㜱㑥摦搳挸㤲愳昷慤ㅥ搵戱㔸慥㔷扢慦扢㌰愲㈳㈰㤱昷〵戵敤㡡昱㜱晤捦搱㌹㐷㔰㐶㈳㈵慦㡡㝢㈵㝣昰ㄷ㐸攴㔸戸㡤慥㐹㌷㍤昲昷昷搱㔴㜱㉣㘱户㌷㤱攰㈳㜳㤱㈲扣ㄸ㍦〰㘸㤰㘶㔲㘵㤴戹慣㘷扣〵〰愲攰㥦愳㝣㝦ㅢ愰挸挳㠱㑡㈵攵㝤㠴㐵㤴愵㙤搶㜶搳捡ㅥ晣ㅦ㠶ち㡢㑥</t>
  </si>
  <si>
    <t>㜸〱扤㔹㙢㙣ㅣ搵ㄵ摥扢戶挷㝢晤㐸㠶㐲〲㠱搰㉣攴〵搸㙣戲戱ㅤ㍢㐹ㅤ攲慣ㅦ㜱散搸ㅢ摢㐹㠰搰㙣搷扢攳㜸昱㍥愲摤戵㘳㐳㈴㈴㔰ㅢ愹扣㔴搴㐲㄰愸愰㌶㠵愲愰㈲ちㄲ慦㠸戴ㄵ慤㕡ㅥ〵晥㠰摡㐰㔳昵㐱愹愰攵㔱〹㤰〸愴摦㜷㜷㤶㡥㜷㘶㐷戶ㄴ昵㑡㍥㍥㜳捥㜷捦㤹㌳㜷攷扢㡦昱〸㡦挷㜳〶㡤晦搹㉡愹㉣ㅤ㥥挹攵㡤㔴㈰㤴㐹㈶㡤㔸㍥㤱㐹攷〲ㅤ搹㙣㜴愶㍦㤱换㔷〰愰㐵ㄲ昰攷慡㈲戹挴つ㠶㉦㌲㘵㘴㜳〰㔵㜹㍣㍥㥦昴挲㕦㘷晥改挵ぢ挹㕥戲㤲〲㈸㡦搴㈸慡㈹㝣ㄴ㤲愲㠶愲㤶㠲摤㘵㍤挵〲㠸扡㠵㄰㈳愱慤㠳愳搷攳㘶㠶昳㤹慣搱攸摦㕤㐸搹ㅥっ〶㠲㠱收愶㜵㑤㠱戵㡤晥搰㘴㌲㍦㤹㌵摡搳挶㘴㍥ㅢ㑤㌶晡挳㤳愳挹㐴慣捦㤸ㄹ挹㑣ㄸ改㜶㘳㜴㙤搳㘸戴戹㉤搸摣搲㌲戶㘱㐳㕢㥤㡥挸〳愱慤攱慣㌱㤶㍢㕢㌱捦㘱捣挱搰搶挰㠰㤱㍦㕢㌱扦㠶㤸〸搹㤹㐹㐵ㄳ改戳ㄴ戴㡡㐳ㄲ散㌴㘲〹㡥㥤㘱㘴ㄳ改晤〱摣昶慣〷㡤慢搶〰㌰扢愳搹㤰㤱㑣づㄹ㘳ㅣ慦〵愹㕤㌹㈳㌴㤹换㘷㔲〳搱㤴㔱㤷攲〳㌴戲㐶㍡㘶攴ㄶ愴扡愶㘳㐶搲㐴攷㝣㈹㜴㈵愸㤲捡挲㔴㘱㄰㝢攳㐶㍡㥦挸捦搴㌳搰㔰㌴扤摦㈰愴㉡搵㌳㤹㠸㝢㉡㉢㐵㘵愵愷㐲慣㜴扡㌷㌵㔴收ㅤ㈹㥤㐳㌸愷㉡㘶摤ㄶ㝦㔲换㑢攲㜳捣〶て攴晢㡣㙣摡㐸㥡㈹㌸㤸つ㈵㌸昵㡣ち㐳昱搵挳㉡ㄶ挴㠱ㄲ戵收敢挳㙡㤸㐸挸㜳㈱攵㜹㄰摡㈲㠸㡡愱㜵㙤㜲㌱㑤攷㐳㠸捡㜷昱晥㔹晢昰ㅤ昰㐶愲摥挸愸㌷ㄲ昳㐶攲摥㠸攱㡤㡣㜹㈳晢扤㤱㜱㙦㈴攱㡤㕣敦㡤㑣〰㔳㙣扥敡㙡慦搹㥥㝡晢㘳晤㐷搳㑦㜶㝤晢昱愷㍥改搹昸收㜹㠲慦ㅣ〷㕡挸㈵㤰昲㐲〸敤㈲摡挲捤㐱戹㤴愶㡢㈱㠴昸ぢ敥㠱昷㌱㜴㘲挹㡤㙦㉦㍥搴晢扣愷㌵昴扢挳㑦慣ㄳ㝣㕤ぢ〱㤶ㄱ敤㠷搰㉥愱㉤ㅣ㕣㉦㉦愵㘹㌹㠴㄰㙦㤹〱扡㔲摦㝤㌳㝤慣㘹换ㄳ㍢㙥㠹愵㝦㜸摥㠸攰慢㕥〸戰㤲攸㔵㄰摡㙡摡挲㑤㙤昲㌲㥡㉥㠷㄰攲つ㌳挰敢て㕦昱捡攸㥤晤㠳㜷㑣ㅦ戹昶㈷㤳ㅤ㡢〴㘹愲㄰愰㠱攸㐶〸敤㑡摡挲挱戵㌲㐰搳ㅡ〸㈱㕥㌳〳捣慣㕣晥挴てㅥ㘸摦晥扤㑦㠷㠶㝥㝢昲搰戴攰㑦戶㄰㈰㐸昴㍡〸慤㠹戶㜰敢㝡搹㑣㔳ぢ㠴㄰㉦㥡〱㡥っ㉣摢㔴昷搹ㅢ摢㥥㍤扣昱㜸摦摤摦ㅦㄳ愴愷㐲㠰㔶愲摢㈰戴つ㄰摥㜰㤳摣㐸换㈶〸㈱㕥㌰晢摦晦攰〵㉦㙥㕥昶捡攰戱ㄵ捦㙤㌶㑥ㅦ改ㄶ㘴戶㐲晦㜶愲㌷㐳㘸㔷㐱㜸挳慤㜲ぢ㉤ㅤ㄰㐲㍣㙦昶晦晤搳㘳㐷㠷㙡愳摤挷㘳㕦摥㥥㕢晡挶㤵㠲㍦㠸㐲晦㄰搱㥤㄰㕡ㄷ㙤攱搶ㄶ搹㑤㔳て㠴㄰㑦㥢〱〶晤㐷㤶摥晢㥢捤ㅤ㍦扤昹㤹戵㐳晢㙡㉦ㄴ㈴搴㐲㠰㕥愲户㐳㘸㝤戴㠵㠳㉤戲㥦愶ㅤ㄰㐲晣摣っ戰慦㝤昱㠵戵ㅦ摥㌵㜰搷愲㕦摣ㄳ攸扡㈱㈶㐸挶㠵〰㠳㐴㠷㈱戴㥤戴㠵㥢搷捡㈱㥡㠶㈱㠴㜸搴っ搰搷㌰㜸换㥢て㍤搲晢㘰换㘴敦晡㌵攷扦㉢㐸攴㠵〰扢㠸摥つ愱敤㠱昰づ〵攵搵戴㕣〳㈱挴㐳㘶晦㈵扦㝣攴昹㡦挶㝢㍡㡦㝥㜴搷昰攱摥㔳て㔷昱つ㥡ㅢ㈱昰昷收て㡤㘷㜲㐶㕡ㄱ㐴㐳㉡㥣㠸㑤ㄸ搹㘱㠳㜳㤹ㄱㅦ捥㐷昳挶㈲ぢ㘳㌵っ愶㐳攳攴愰昸愵㔶敢㔸搷㜴摥㐸挷㡤㜸㌸㥢㌹㘰㘴昳㌳㈳搱搱愴戱㜸ㄶ愴〳㤳攳㤴〱挷㤲㔹收敥㑣㙣㌲ㄷ捡愴昳搹㑣㜲戶愷㈳㍥ㄵ〵㑢挶㜷㘴攲㠶愷愲㐲〸㡦昷㕣㤳㉤扡愶挰㠹摢愲改㜸搲挸扡㑥挰㠲㤴愷搵愰㜹慡挸㈹昳㘷㍦捥捡㔲㤱㉤愶挶㕣㔵慡㍢㤳捤㔵㔴㌸㈵摤ㄶ捤㡤攷㔹户慢㤳㈴㈷昷㔲㕣〷㔱㐵㙡㥢ぢ戹㤲㤱㐴㔴㡣㡡㤸㠸ぢ愳㍡〵昲摤戱㍦㕢愵收㤴慡㔴愷㤱㡢㐹㑥ㅡ扤ㄸ㠴㘹つ㕡㜲ㄲ㔳つㅦ慢㌱㥤敦㡣收愳搵愹㜰ㄴ㤳㑥㝥〱㍡〲搷㘰〶愸㉢㕥慡戹愹㜸挱㜰㝡昱愲ㄸ戵晥㝦〶〴㍦户㜸㘵挹昱㔵散㐲㉡愹昲㌰㜰㐱㘳搴㝡㘵㉢㠶慣㌱慦㄰㑦㔷慡㈵㔸慤㌲ㄴ㈲愱㜶慥戶戰摣慡挰㠴愷晥ㄵ愴挶收晥昸㜰㥦㜸㔰㥣㥢㝣㥡敢挰慣㈸㤹扡搴ㄴㄷㅢ摤㤵㑦㈴㜳〱摣㑣㑦㌶㌳㜹㠰㜱晥摦昹捥搶㝤昳摥ぢ敤戳㌳㠵晦ㅦ㤲㔸搱㡡搷挵晦㝦㍥㔱㈳㌹昹㙡晢攸〵捤㤸㜸晣㘸㈳㌰搴ㄴ扣㤲㕥扢㔳昵㉣攳慢攲㈴㍥㥦㌵〲㘷搴扡搴㘰㙣㜴㈴㙢愸㜵㡦㑦㕤捣ㅣ㌰敡㔳㝢㌲搹㠹搱㑣㘶㠲扦戰〵敡㉡㌷㙥ㄸ㜹慥㈴㙡捤戵ㄳ㜵㈱㐴㐵挵慣㈵㠳㘵挹挱㌵㠸㌶〶㔱摦㤱㑣晡㡢ㄱ㜳摡㝥摡昱㠳挰戸㙢攳搰ㅢ挳㤹㙣㝥㉣㤳㑣㘴晣昸㐱㈵㔲㠹ㅢ愲㕣敡晢て㈶昲攳晥㈱㈳㤷㤹捣㘲㍤㌷戵㉥㌰㥤捣愵挴㍤㈶㌳㍦晥㠷㠳慦㝦㔱ㄹ〹ㅤ敤晦搵㠶昴昶慢㥦ㄴ㜷㥢づ摢搲㠳慦㌷㘹扢㐰㔵㠲㑢て搲㤵㥣愰㐸㐲〸慥㍦㐸ㄶ㠵㔶ㅣ㈹户ㄱ攴搲挵㍥づㄹ㔸㌱㠰㉥㑥㌷㥦攰ち㠸㠳㈸昹搰㈴ㅦ㤳攴昳ㄱ㠷换㤵晣ㅤ搳㘱㕢㉣㉤㐳㌷㑢挹㝥㕣慡㤲㙦㠴㈲て㐱〸慥㤸收㔷㌲ㄷ㕢昶㤲㙦㠲ㄵ㈵扢㌸摤㝣㘲㌹扡㍢㤵㝣戰㕣挹㔳愶挳戶扣攳愲捥㔲昲㉡㕣慡㤲㙦㠵㈲㙦㠳㄰㕣攳捤慦攴搵散㙢㝢ㄳ敦㠴ㄵ㈵扢㌸摤㝣㠲慢㑣愷㤲昷㤷㉢㜹捣㜴搸ㄶ愴つ㠸㘴㈹戹ㄱ㤷慡攴晢愰挸晢㈱〴㔷愵昳㉢㤹ぢ㕡㝢挹て挰㡡㤲㕤㥣㙥㍥戱〶摤㥤㑡摥㔳慥攴摤愶挳戶㠴づ㈲㤲愵㘴㉥愱㔵挹挷愰挸㐷㈱㐴㌳挴晣㑡㙥㘲㕦摢㈸㍦〶㉢㑡㜶㜱扡昹〴㔷昲㑥㈵昷㤴㉢戹摢㜴搸ㄶ晤慤㠸㘴㈹㤹㡢㝥㔵昲㜳㔰攴㜱〸挱愵晦晣㑡收愶挱㕥昲〹㔸㔱戲㡢搳捤㈷㌶愱扢㔳挹慤攵㑡㕥㙦㍡㙣晢ㄴ敥㑥㉣㈵㙦挶愵㉡昹㈵㈸昲㘵〸戱〵㘲㝥㈵㕦挵扥戶㔱㝥ㄵ㔶㤴散攲㜴昳㠹づ㜴㜷㉡㜹㜵戹㤲㔷㤹づ摢搶㉡㠴㐸㤶㤲戹戵㔲㈵㥦㠴㈲摦㠲㄰摤㄰昳㉢㤹㕢㌳㝢挹愷㘰㐵挹㉥㑥㌷㥦攸㐱㜷愷㤲捦㉦㔷昲㘲搳㘱摢っ㜲ぢ㘸㈹㤹㥢㐱㔵昲㝢㔰攴晢㄰愲ㅦ㘲㝥㈵昷戱慦㙤㤴㍦㠰ㄵ㈵扢㌸摤㝣㠲㝢㔲愷㤲慢换㤵慣㤹づ摢昶㜵㄰㤱㉣㈵㜳晢慡㑡晥ㅣ㡡㍣つ㈱戸㠷㥤㕦挹㍢搹搷㔶昲ㄹ㔸㔱戲㡢搳捤㈷㠶搱摤愹攴㑦扦㉣ㅣ捦搸㔶㕦㥦㤸づ摢㠶㥢摢㙣㑢挹扢㜱愹㑡慥挵㔶㐳搶㐱〸㙥扢攷㔷昲ㅥ昴戰㤷扣㄰挱㔰戲㡢搳捤㈷慥㐱㔰愷㤲晦㔱慥攴㜷㑣㐷改ㄹ㐱攵㕥㐴㜲摤づ㔵〳㔰搳㥦㠹挶扢愳㌱ㅣ㈳㔷㥢㠷挸扥㔰㈶㜵〰㍢挹慣捥敤㙥〸㕢㜳㙣昹愷ㄲ㜱㈳敢愳㘱ㄸ㘷摣㤵摣㈸㙢㙡ぢ㥡挳㡥慤挲㔳㔵㔵敢㜳捡搵㕢㡣戵挲攱っ扤搷ㄶ晦晤㥤㙤攴㐰㍣㍦ㅥ㡥挸㡢㌸㌸㑢㌹㌸搷攱㤲昵㤴〰㉥㈶攰敢〴㐴㉣㠰ぢ愰搷搴㜰㉦㈴㤷ㄱ攰㈷㘰挲〲㠰㕡㑣㜱〹〱㤷ㄲ㤰㜴〶㉣㈷㘰〵〱ㄹぢ挰㤲㘲㈵〱慢〸戸搱〲㠰㕡㑣戱㥡㠰换〸㌸攴っ戸㥣㠰㉢〸戸挹〲戰愴㘸㈰愰㤱㠰㕢㉤〰愸挵ㄴ㔷ㄲ㄰㈰攰㌶㘷挰ㅡ〲搶ㄲ㜰愷〵㘰㐹ㄱ㈴㘰ㅤ〱昷㔹〰㔰㡢㈹㥡〸㘸㈶攰㝥㘷㐰ぢ〱敢〹㜸挰〲戰愴㘸㈵愰㡤㠰㘳ㄶ〰搴㘲㡡つ〴㙣㈴攰㔱㘷挰㈶〲扥㐱挰㘳ㄶ㠰㈵㐵㍢〱㥢〹㜸捥〲㠰㕡㑣㜱ㄵ〱㕢〸㌸敥っ攸㈰㘰㉢〱㈷㉣〰㑢㡡㄰〱㥤〴扣㘴〱㐰㉤愶攸㈲愰㥢㠰㤷㥤〱㍤〴㙣㈳攰㔵ぢ挰㤲愲㤷㠰敤〴㥣戴〰愰ㄶ㔳昴ㄱ搰㑦挰㕢捥㠰ㅤ〴っ㄰㜰捡〲戰愴ㄸ㈴㈰㑣挰㝢ㄶ〰搴㘲㡡㥤〴っㄱ昰扥㌳㘰㤸㠰ㄱ〲㍥戰〰㉣㈹㜶ㄱ戰㥢㠰捦㉤〰愸挵ㄴ㝢〸戸㥡㠰搳捥㠰㙢〸戸㤶㠰㌳ㄶ㠰㈵挵㕥〲慥㈳㠰㌴扥ㄷ愰ㄲ㝥昸㈶〱晢〸㈰挵㍢〰㈲〴㝣㡢〰搲㜶ㄱ㘰㐹ㄱ㈵㘰ㄴ㐲㈷ㄹ戱改㈴㈴愵㤰㝤㤴㐲〶㔲ち改㠶慣慡挵愰攸愱慤㤱㔹ㅦ㠶戴㌸慣戵㤱挲㤹挳〸づ㌸㌴〳㠶晡㐸攱搳㔱㠱㑤戵㌱㤸敡搰㔳㕤攲〳ㄳづ㉡㘰㔹〰㡢攵㑣㔵ㅢ㠷敤㈲㠵捡㜶㈶㜲〷㤲搱ㄹㅥ㤱っ㘴㡡ㅦ㕥戴〴〰攷〰㌰晢〳㤳㑥㉡攴つ晡㠴昰昹㜸敥㔹愳扥挳愸㉦㌲㕡ㄲ㑥昵㌱㈶〵㐵㈷㌳戲改㘴㐷愵㤰ち㤵㐲㍡㔴ち戹㡦攱㈴敢㤵㉣㑦戲㈴挹㈲㈴敦㕢昲㐶㈵㙦㐶㈷㐵㤶愴收ㄹ㠸晡㄰愳ㅤ㠴㔳㝤㠳㤹㈶㤴㡣挹愶㤳㌵㤵㐲㡡㔴ち㘹㔲㈹攴挴戹愶㈶㜵㤶愴昶㈳㠸㕣〶愱摤っ愷晡㝡㜳ぢㄴ㥤㑣捡愶㤳㑤㤵㐲敡㔴ち改㔳㈹攴捡戹愶㈶愵㤶愴收㤹㠰攴㌹㠱㜶㍢㥣敡扢捦ㅤ㔰㜴㌲㉣㥢㑥㤶㔵ち㈹㔵㈹愴㔵愵㤰㐳攷㥡㥡㔴㕢㤲扡ㄱ㐱㘴〳㠴㜶〴㑥昵挵攸㕥㈸㍡㤹㤷㑤㈷晢㉡㠵㔴慢ㄴ搲慤㔲挸慤㜳㑤㑤ち㉥㐹捤㍤戲攴扥㔹晢㌱㥣敡㕢搳㔱㈸㍡ㄹ㤹㑤㈷㉢㉢㠵ㄴ慣ㄴ搲戰㔲㐲㔰收㥡扡搳挴㕡㝥攱㙤〸㈲㕢㈱戴㥦挱挹慦㔴㡦攱扦㑥愲㘶搳㐹搶㑡㈱㌳㉢㠵散慣ㄴ㔲昱㕣㌳㤳戱㑢㡡收㤶㔱㜲ㅢ愹㍤〳㈷扦㙦㍤㡢晦㍡昹㥢㑤㈷㠷㉢㠵㠴慤ㄴ㤲戶㔲挸搰㜳捤㑣㈲㉦挹捣㥤㥢攴㙥㑥㝢〱㑥昵㘵散搷㔰㜴昲㍡㥢㑥㙥㔷ち㠹㕣㈹㈴㜳愵㤰戹攷㥡㥡〴㕦㤲㥡㍢㈸挹㕤㤵昶㉡㥣敡㥢摡㙢㔰㜴昲㍤㥢㑥捥㔷ち〹㕥㈹㈴㜹愵㤰搱攷㥡㥡挴㕦㤲㥡㍢ㄹ㌹〸愱晤ㄱ㑥昵㌵敥㈴ㄴ㥤昳〰㥢捥戹㐰㈹㈴㝥愵㤰晣㤵㐲愶㥦㙢㙡㑥〸㈵愹戹愳㤰摣㘵㘸㝦㠷㤳摦昱摥挱㝦㐱㉡㜵㕡捥㉦㉥户㥣㕦㘴㍡㙣攷挷㘴㐶愷㐸攷㤴㡢愴㥢づ摢戱㉣㠹捥㈹㔲㕤戹㐸戵愶挳㜶摡㐹摥㜲㡡㔴㕤㉥㤲㘶㍡㙣㠷㠸愴㈱愷㐸摥㜲㤱㠴改戰㥤捤㤱㔵㥣㈲㝤昱㐵㤹㍤攳㘹搳㘱㍢昲㈲㑢㌸㐵晡慣㕣愴㑦㑤㠷敤㈴㠹㙦扤㔳愴晦㤴㡢昴戱改戰ㅤ搰昰㈵㜶㡡昴敦㜲㤱晥㘵㍡㙣攷ㅥ㝣㈷㥤㈲晤戳㕣愴㜷㑤㠷敤㌸㠱慦㤸㔳愴扦㤵㡢昴㔷搳㘱摢愵昳㤵㜱㡡㜴慡㕣愴㍦㤹㡥搲捤㙦敤㝦〱㑤㈹敡㠳</t>
  </si>
  <si>
    <t>㜸〱搵㝤〹㝣㔴搵搹㜷捥㈴㜳㤳㤳㡤㔱ㄴ㌷搴㠹ぢ㈰搰㐸ㄲ㐰㜰㐱戳〸㠲㉣㌱㐱㜰挳㌰㐹敥㤰㤱㔹挲捣㠴挵つ㕣敡昶㙡戵愸㈸㙡〵ㄵ㌷摣㤷扡扤慤㔵戴摡搷㙡戵搵㙡㕤㕡㝤摤㕦昵㙤㜱慤㙤戵㝥晦晦戹攷㈴㌷㤹㍢㈳㐳昸扥㥦摦㈵昷㤹攷㥥攷㝦㥥昳㍣攷摣攵散ㄴ㠸㠲㠲㠲敦㜰昰㤷㐷ㄱ㤹攱慤㉢㔲㘹㍢㔶摤㤸㠸㐶敤㡥㜴㈴ㄱ㑦㔵搷㈷㤳愱ㄵ㌳㈳愹㜴㈱〰㔶㕢〴昲㤴扦㉤ㄵ㌹搹㉥㘹㕢㙡㈷㔳〰昹ぢち㑡㑡愴て昲㕤昴ㄹ㌰ㄷ㤲戱㘴ㄱ〹㔰〵搲㈲㈹㈶㈹㈱㤱㈴愵㈴㘵㈴攵㈴ㄵ㈴㤵㈴㐳㐸〲㈴摢㤱㙣㑦㌲㤴㘴〷㤲ㅤ㐹㠶㤱散㐴戲㌳〹搳㤷扢㤲散〶㔲㍥ㅣ㘴㙥㘳挳㥣昶㤳攰㑤㙢㍡㤱戴挷〶攷㌹㌶ㅦ㔲㔳㔳㕤㔳㍤扥慥戶慥㝡摣搸㘰㘳㑦㌴摤㤳戴て㠹摢㍤改㘴㈸㍡㌶搸摣搳ㅥ㡤㜴ㅣ㘹慦㤸㥢㔸㙣挷て戱摢挷搵戵㠷挶㑦慡ㄹ㍦㘱㐲㜸昲攴㐹攵扢㐳昳散挶㠶收愴ㅤ㑥㙤㉢㥤㝢㔰攷㥣挶㠶敡搹㜶㝡㕢改摣ㄳ㍡愱戲㈹ㄱぢ㐵攲摢㐸愹㥦㘵㕡搳㘴㜷㐴㔸昸戶㥤㡣挴ㄷ㔵挳散㝥ㄹ㡤慢〳慡㠱㤹ㄷ㑡㌶摡搱㘸㡢ㅤ㘶㠱㔷挶㡥㑥搹㡤㍤愹㜴㈲㌶㍢ㄴ戳换㘳捣㐰㍢㘹挷㍢散㔴㘵散昰攵ㅤ㜶㔴愳㔳㈵㌱㐴㈵愸㠸捣㤰㤸㔳㠸搳㍢敤㜸㍡㤲㕥㔱㐱㐵㉤愱昸㈲㥢㄰㝦㙣㕡㑦愴戳愰愸㐸ㄴㄵㄵㄴ㡡㝤扤㙣㔳㐵愵㉤㔲㍣㡢㜰㡢扣攸㘷ㄶ㙦愹扤〷攸㘷㤹捤改㑥ㅦ㘹㈷攳㜶㔴㈷挱挲ㅣ㌳〰愷昲挸㈹㡡摥捣㌲づ戱愰㐴㤹㝥晥攸つㄳㄲ㌲〸㉡慢㐰慣扤㐰ち㕢㙡㈶换扤ㄹ戴て㠸㈸㝡ㅤて戰㍢づㅦ㈲㕦㕢挸搷搶敥㙢敢昰戵㜵晡摡㙣㕦㕢搸搷戶挸搷搶攵㙢㡢昸摡㑥昲戵㉤〶挶ㅣ㈵挵挵㍥㝤㐴扦晡攸捡㈷㕦ㅡ㌳敢搱摤敥摤攷捣攱愷敥㈵昸捣戲愰㠵ㅣ〱㉡㐷㠲㔸愳㐰㝣捤㤳攵㝥っㄹつ㈲挴ㅦ㘱〲捤㔸㌵昴昱㌷慡昷㌹戸攱挷户敤㕤晡摥晣挵㥦〸㍥敥㑥晣戱㐴晦〸挴慡〶昱㌵搷挸晤ㄹ㌲づ㐴㠸攷㜵晣㑤ㄷ㝤摢昵㡣㑦㌴摣昵搴挶昴戱㜷㡤摣㈰昸愶㜰攲搷ㄲ㕤〷㘲㡤㘷㔸㜳㑤㡤㥣挰愰㠹㈰㐲晣㤷㔶㜰挶挶㤵㑦㥦昱昵扥㌳ㅥ㌹愹昳搸扤捥摦晤ㄶ挱户㡣愳㘰ㄲ搱㤳㐱慣〳ㄹ搶㕣㔳㉢て㘲搰挱㈰㐲㍣愱ㄵ晣㝥改挲挸扢晢㥥㜵挴㤹㌷ㄶ㕢愱ㅢ㙥慦ㄱ扣㘱ㅤ〵㔳㠸㍥ㄴ挴㍡っ挴搷㍣㐱搶㌳愴〱㐴㠸㕦敡昸换㕥㘸扤挱㝦捤ㅢ㐷㕥戵挳㤲昴㤴攵愳昶ㄷ㝣戹㌹昱㥢㠸㍥ㅣ挴㥡捡戰㤶扡昱㜲ㅡ㠳㡥〰ㄱ攲㐱慤㈰㍣扢㌲戶攳攵㍦㥡晤换挷换晤戳慢挶㔵ち扥ㄸㅤ〵㌳㠸㍥ㄲ挴㥡挹戰㤶摡昱㜲ㄶ㠳㘶㠳〸㜱㡦㔶昰㔳敢愱㘳挷㝥戸㜶搶㈵扢㥦㝡挷挱㙤搵换晣扣ㅦ敡扣㙥㐲搷ㅢ㔱㍤愸㔳昱㙡散〸愵搲晡攱㘳搶㙤摢㘷㔳㍦㥡㈳扤㡣㜱㥥捣愹挹㡥挶慥㔰㌲㍤挸㘷㌳㌸㈰〵㍥㥢慤㤱㤸㝥㌶㤱挸㌶㜹㌰㘵㌳㜳晦㈸㄰慢〵愴㜲㙥㈲ㅤ㡡〶ㅢ散戸ㅤ㡥愴㔳戲㤵搲戹㈰㐲摣愶换收攷㈳摥つ㍥戴晥㕦㌳㙥ㄹ㜵挲㝢摢㥤晥搶挷㠲摦㍡愷㜰攷ㄱ㍤ㅦ挴㍡㠶㘱㉤戵ㄳ攴戱っ㍡づ㐴㠸ㅢ戵㠲㤲换摦扥昵愰㕦㑣慢扦愱㘱攴㔷改换㙥㙥ㄳ晣㑥㍡ち㑥㈰㝡〱㠸㜵㈲㐸㔱㜳㑤摤㈴搹挶戰㠵㈰㐲慣搳ㅡ㔶摥㝣换㍦㙥慣晦昶昰㌵㙢摦㔹晦搱愶㠷㠷ぢ㝥㘴ㅤつ敤㐴㜷㠰㔸㥤っ㙢愹㥤㈸㙤〶㠵㐱㠴㔸慢ㄵ挸攷慣㠹㥢㠶愴敢㔷㍤㝤昶㤴昵愵户㉤ㄴ晣㐰㍢ち扡㠸㡥㠰㔸㈷㌱慣戹戶㐶昲㐵㈳愳㈰㐲㕣慡ㄵ昸㜷昱㡤摤攸㡢㌵㍤扡摢㈵㐷㕤戲戹㝡〷挱㡦扢愳㈰㑥㜴〲挴敡㘶㔸㑢㕤㥤㕣挲愰㈴㠸㄰ㄷ㘹〵㕦扦㌴晤换㝦㕣昹慦愶昳扥㤹㜴晡㜱愵㌷㕦㉣㔸㌱㜰ㄴ愴㠹敥〱戱㤶㠲昸㥡㙢攵㌲㠶㉣〷ㄱ攲㕣ㅤ晦㉦昳ㅥ㙢㉥㍡㘸扢ㄹ㙢㜶攸晥昳㤳㑦㉣慢ㄷ慣㔳㌸昱㑦㈶晡ㄴ㄰敢㔴㠶戵搴㑣㤲愷㌱攸㜴㄰㈱捥搰ち㙥摥㜸捦㠸㉦㝥戳㙦挳㜵攷㜵挴㠷㑤戹收㡦㠲昵ㄱ㐷挱㉡愲捦〰戱捥㘴㔸㑢摤㐴㜹ㄶ㠳捥〶ㄱ攲ㄴ慤㈰昹搸敢㐵㜳㤶㕦㌶晤散戲㍤㔶敥㈴晥㝣愷㘰㕤挶㔱㜰づ搱攷㠲㔸攷㌱慣愵昶〰㜹㍥㠳㉥〰ㄱ愲㐷㉢戸挲㥥㔸㜱搱ㄵ昳敡㝦㝡昹昹㥦㤷敥扢挳㤹㠲昵㈰㐷挱㠵㐴㕦〴㘲晤㠴㘱㉤戵㜵昲㘲〶㕤〲㈲㐴㐲㉢㘸㙤㍥愰㝡愷㔰摤戴㍢挲ㅤ㘳捥慤㥦晦戶㘰ㅤ捡㔱戰㥡攸㑢㐱慣换ㄸ搶㔲㕢㉢㉦㘷搰ㅡ㄰㈱㈲㕡挱捥愳〳敢㙦㕤昰㜵晤愵〷㡦㍥㘱捡搸扦慥ㄶ慣㝦㌹ち慥㈴㝡㉤㠸㜵ㄵ挳㥡㔱㡡㔷㌳攸ㅡ㄰㈱㍡戴㠲戵攷㉤慢㌹㜷㐳愸晥捥㜳㘷㥥㜲敥收㌷慦ㄱ㍢ㄳ㑣㠸扣㤶攸㜵㈰搶㝡㄰㔸㔰㈳慦㘳搰昵㈰㐲㉣搰ち㥥㍦㜰昴摢愷㡤㤹㕤扦㘶搶挶㥤㕢愶㔴㔹㠲昵㍥㐷挱〶愲㙦〴戱㙥〲昱㌵㑦㤴㌷㌳攴ㄶ㄰㈱收敢昸㈷摦晥收敦捥摥晦昸愹㔷晦散敡ㄷ扥㝤攲㡢㝦㡢㕤㈱㜶攲㙦㈴晡㌶㄰敢㜶㠶戵搴㡤㤳㜷㌰攸㑥㄰㈱㡥搲ち扥㍥晥散㘷㍦扤㉥㍥敢愲ㄹ㡢㠶㡦晤㜵愵㈵㔸摤㜴ㄴ摣㑤昴㍤㈰搶扤㈰扥收昱昲㍥㠶摣て㈲挴㤱㍡晥㐱㜳晦昱昸㠶ぢ晦㝥搸昹㘳㠶ㄴ晣㘹㤷㠶㕢晤㐱㠸户慣摡㘲〱ㄹ㙣散㑡愴散戸㝡㔵㡥㠹㌵㐷㍡ㄶ摢挹㔶㥢㔵㜶扢戳㌵ㅤ㑡摢㍢㔲愴敢㔵㘳收挴昱㘲㐵㑤愹㜳㉦㜷㘸昸昰攵㘹㍢摥㘹㜷㌶㈷ㄳ摤㜶㌲扤㘲㙥愸㍤㙡て敢〷愹㐷ㅢ㘰愹つ挱㉥晤㠲愷㈶㍡㝡㔲㡤㠹㜸㍡㤹㠸昶㤷搴㜷㉥つ愱㉥搷㌹㉢搱㘹ㄷㄴㄶち㔱攰ㅢ慡敢㌴㠷㉦㐵捤敤㠸㔰扣㌳㙡㈷㜳戶㌳〴㉢㘶㔶㈹㡥〲㍦㙢㍥昹搷搱㝣㠸㈵㔵㤵㄰ㄵ昸㤴㍦㠶慦㕢慡戰搰㉢搱㈳㐲愹慥㌴晤捥㉤愴扥〷㐸ㅥ〴昱敦つ戲㈵㔵㐰摥㤴㈲㈴摡㐵㠷攸ㄴ㜶㜱っ㔵挴㔹㡢㤲㝥㔵昳昵挷㥡散㔴㠷㘴搵㜶㍡ち㘱戹〵㉥摡㠳ち㌱戳搵㕥㥥㙥ち愵㐳挵戱收㄰慡挶改㑡㐴〴㙥㡣㔶㔰㙥㉥㔵つ摡㕣㔰㕤挰㕣ㄸ慤ㄵ㝤〱㔰㍥搴㕣戹搲攸搵敤㈴㈵㔵㍡㔴散㜰搴㕡愱挲㡣捡㔲㝤〵㝤〱挵扡㤴㤵愹〰㐷ㄳ㝣㘷愳㔲攰戱挰户㕦晤㌸搴攲㤱㍢晢㘰㈷㌲㡡ㅦ敡ㄲ㉢㘷挱散攳昱戱㥦搳搱㝥㜴㍡ㄲ㑤㔵挳㤸㘹挹㐴㑦㌷昵晣扦㑥㙦㕢搹㑤摢㥤攳敢敦㥣摦捤慣㠶攲㌰搷收昷慤㕦㤵捡扤㄰㙥㍤㑣㈹昲扢昷㤰㡦㠰㉤㜵愴㤲搲㑣愱㡡㤹㐵收摦〷㔱昲㘹挹戰攲㕦ㅥ㐳㌱捣㑤摡慡㜵㔶愲㉥㔶㜴摢ㄵ戱昹㠹攴攲昶㐴㘲㌱敦戰㑡㜵㤵敡戲敤㌴摢㍢㘵扡㠵㐷㕥〸㔱㔸搸慦㘱攳㙡ㄸ敤〹晤搶攳㈰ㄵ昵搱㘸搰㘸㑣㔹㥢ㄸ㡥ㅢ〲攵㙥㍤〱㝥㙣㜳㈲㤹づ㈷愲㤱㐴㄰㌷㔴㈴ㄶ㌹㌹挴ㅥ㡤攰戲㐸扡㉢搸㘲愷ㄲ㍤㐹戴㍡㤷搶㔶㉦㡦愶㘲攲㘰晤㘶扥攷搵㘵扦晦戶愸慤㜱挳捣㑤㤳攳㌳㡥戹㕦ㅣ愴〵ㄹつ愴ㄱ㐸㈳挸㌴搵慢㑡㡣〴㕢㠵㔳㍥㐵昲㌴㠸㘰㌳㠹㉦ぢ攷㌰㈵㌵昰摡㠴戳〴㐷㐱愸捡㠱戵〲㜳挸㘷挰愱〰㜳〸㜳挹挴㘸㐴㘷㈱㑡㘶㥡㘴㌶㐹收㡦ㄸ㥢捤攵㌱㕡㤰搱愶ㅢ㡢㘸㐱㥣摡攵ㅦ㠱㔵㉥扦っ㐶扥〲㈲搸戲换捦攵㙡挶攵㙤㔹㡥搳ㅣ昲㌵㜰㜰㌹㠷㌰㤷㑣㡣㐳㜴㉦㤷㠷㘷㜳㜹㌷㉤挸㘸㠶搶㐲㔳㄰愷㜶戹づ慣㜲昹㝤㌰昲〳㄰挱戶㘸㝥㉥㡦㘷㕣扡捣㉡扣㌹攴㐷攰攰㜲づ㘱㉥㤹㤸㠸攸㕥㉥㤷㘷㜳戹㑣ぢ㌲ㅡ捥㤳愰㈹㠸㔳扢㍣ㄹ慣㜲昹㉢㌰昲敦㈰㠲慤攷晣㕣㍥㤰㜱改㜲㈵㑥㜳挸㝦㠲㠳换㌹㠴戹㘴㠲敤㜷㉦㤷扦昹户搳㈷㤱昱㉣晦㑢ぢ㌲㥡晡㔳愰㈹㠸㔳扢捣㜷慣㜲搹ㄲ㌰扢ㄸ㐴搴㈳㈸㍦㤷て㐳っ攵㌲摢㈸收㤰愵㔰〶㤷て㐳㐰ㄶ㘱㉥㤹㘸㐰㍣㉦㤷㍦挹收昲挷㕡㤰搱㍢搱〴㑤㐱㥣摡㘵昶㑥㔴攱㤴挳㘰愰摣〹㐴㑣挳㘵愶换戹㍥㐰㔳愹㠰愵散㍥攴慥㔰〶㤷㜳〸㜳挹挴ㄱ㔰收攵昲ㅢ搹㕣㝥㕤ぢ㌲晡㔳㘶㐰㔳㄰愷㜶昹㐸戰㔵㌸攵〸ㄸ㈸㐷㠲㠸㔹戸捣捦攵㤹㔴㐰㤷搹摢㘳づ㌹ㅡ捡攰㜲づ㘱㉥㤹㤸つ㐵㕥㉥㍦㥢捤攵摦㙡挱挰ㅥ愰昲㠹㌰攴㈸晤昱㙣㑡㠶㤶愱慢戶慦ㄷ戸戶㝡ㅣ晦㝤㝦昷㌷㝡扦挳ㄳ挲〷㠴㙢㙡㍡㈷㡣ぢ搵㠵晣捤㌰㜰㑢晢㜲昸㈹㉢て捦㡦挴㍢ㄳ换搸㡣㐸㤵㠷愷㐶愲㘹㍢愹㉥㠶㠴昱攳昴㈴慢敢ち戶㑢㤲愱づ愷ㅦ㘸㠷㜰㈳㥡㈶攸扡㑥慦攸敢ㅣㅡ摥㄰㐲㈷㜲㙦㕦搱ㄸ慤扢㈱搱ㄳ敦㑣敤收㉤㔴慤愲㕤〷捡晡㤴㘴㐴㙢㐵户戶㥤㔲㈶敤㌱㌰㥡慡慡搷㉦㡦㌸攲摤〷㠸搱愷㥤㘸捦㉥㥤㥡戴㤷昴㑡㌳㉣㜲㕡㕣㤴㘷㜸改㠸ㅣ扢晥扦㘸〰ㄶ愹〳扤昲㌸ち㠴搳ㅣㅣ㌵愰挶慥扡挴㔵㉥㔷愳㙦捥㜵㤳戰ㄱ㤸ㅢ散扡㠹〸昶慣愲昶㙡〶攳扡挹㠸摦㉦愷㈵敥㥢㤰攸㜱㌹搱ㅥ㌷㈹㈳敤摣晦挱慢㙥㐱〳ㅤつ昱愸捤愷搲㌷戰昱攲捡㡡扥晢昲㝢㉣愵㝦扡㤹捦㈱㍡愲㜳㘴㥡㔲摢㝢敦晤摦〵晢戶戲攱㉦て㐰摥挸㐹㈴㤳㐹づ㈴㌹〸挴晦㈴摥㜱㔹㜳戴〸㥥㡢攵㘲㠵㝦㔹愴㌳摤㘵㜵搹㤱㐵㕤㘹㠴㘱㘰戲愴㠴搹扤ぢ㜸㥥㑦晡ちち摥挱㜵㠱㍣㠴㥡愷㤰ㅣち㠲摥〶昵ㅡ户㑡㘵㍤㉥慤〶㤰㈱愶㕢㍣攸摣㤸愵〵攲㈸挴慣㘲散㐶挸㘵ㄳ㐸昹攱㈰戳㡦戰愳攸㐴搹㔶㐳㠱晥㔶㈴昱扤㍤搹散扢ㅣㄶ㙢㕤ㄱ敦攸㑡㈶攲ㄸ㤰㘵愷㐱㝤〷ㅡ㌵㈹ㄱ戲㘲㌳ㄳ㡤㍤㘹㉢㜶㐴〴㍦攵戱ㄶ扢摢づ愵ㅢ昱㡥㑣㔷挴㘶愲慢㕦扤挴愶㜷㉥捦扦㍦㘲ㅢ㜶ㄲ戰搸ち〴㌲戰搰昴ㄱっ扣㝤㥤戶扣捥摥敡愶〴挶㘵㙤㌵㈴捤㙣户㉣㤴敥㌶敡㈲搸㔶㝡㔴㤳㕤㑥㠵㜵敢㍥摤㜸搰扥㍦扢敢㍢晤扢ㄲ昵㙤㜵挸ㄶ㌸慤㙥㌶㕥㌲〷㜸挸改㠸㔲㥡㑢㈶收〲搶㕢㉤戰㘶㌳摢昰搲㜴ㅡ㜳㜷㘷慢ㅡ摣愵〵ㄹ〳㄰昳愰㉤㠸㔳搷㠶收㠳慤挲㈹㕢愰㔷戶㠲㠸㘳㜱㤹㔹ㅢ㐲愰㍡㑣扢搵晣戲晤㝡っ㈴捡戳ㄲつ攲㡦㥣〷㘵愸つ攵㄰收㤲㠹攳愰愳搷㙤㔷晢㜵㝤㌶㤷搷㘹㐱挶㤰〹〷㑡㠲㌸戵换ぢ挰㔶攱㤴敤㌰㔰㜶㠰㠸㌶㕣收攷昲㠹㔴挰ち攰㔰㥣收㤰㘱㈸㠳换㌹㠴戹㘴㘲㈱ㄴ㜹戹㝣㐹㌶㤷㉦搶㠲㡣㌱㥥㜶㘸ち攲搴㉥㜷㠰慤挲㈹㤳㌰㔰愶㐰〴〷㝡㌲㕤捥㔵捤敦愴〲扡㙣攱㌴㠷㕣ち㘵㜰㌹㠷㌰㤷㑣㠴愱挸换攵㔵搹㕣㕥愹〵ㄹ愳㔲㕤搰ㄴ挴愹㕤收愸㔴ㄵ㑥㜹㈶っ㤴㘷㠱㠸挵戸捣捦攵㤳愸㠰㉥㜳挸换ㅣ昲ㅣ㈸㠳换㌹㠴戹㘴㈲ち㐵㕥㉥㜷㘷㜳㌹愱〵ㄹ攳㘸㜱㘸ち攲搴㉥㜳ㅣ慤ち愷㕣つ〳攵愵㈰㘲〹㉥昳㜳戹㥢ち攸㜲㈱㑥㜳挸㌵㔰〶㤷㜳〸㜳挹㐴ㄲ㡡扣㕣㕥㤸捤攵㌶㉤挸ㄸ昹攳搷㍤㠸㔳扢捣㤱扦㉡㥣昲㝡ㄸ㈸㙦〰ㄱ换㜰㤹㥦换㑢愹㠰㉥昳搳㙡づ㜹ㄳ㤴挱攵ㅣ挲㕣㌲戱ㅣ㡡扣㕣㙥捥收昲ㅣ㉤挸ㄸ慣㍣ㄹ㥡㠲㌸戵换ㅣ慣慣挲㈹敦㠵㠱昲㍥㄰㜱ㅡ㉥昳㜳㤹㠳㥤捡攵〰ㄸ㜳挸〷愰っ㉥攷㄰收㤲㠹搳愱挸换攵挳戲戹㝣愸ㄶ㘴っ慦慥㠲愶㈰㑥敤昲ㄹ㘰慢㜰捡㑤㌰㔰㍥〱㈲捥挲㘵㝥㉥㥦㐹〵㉣攵㘲㥣收㤰㑦㐱ㄹ㕣捥㈱捣㈵ㄳ㘷㐳㤱㤷换攳戲戹扣扦ㄶ㘴っ〸㥦〳㑤㐱㥣摡攵㜳挱㔶攱㤴㝦㠰㠱昲㐵㄰挱㔱攱晣㕣㍥㡦ち攸㌲㍢攷捤㈱㕦㠶㌲戸㥣㐳㤸㑢㈶㉥㠰㈲㉦㤷㠳搹㕣摥㔳ぢ㌲㠶戰㉦㠴愶㈰㑥敤昲㐵㘰慢㜰捡户㘱愰㝣〷㐴㜰ㅣ㍢㍦㤷㝦㐲〵㜴戹っ愷㌹攴晢㔰〶㤷㜳〸㜳挹挴㈵㔰攴攵㜲㈰㥢换㐳戴㈰㘳搰㝤㌵㌴〵㜱㙡㤷㉦〵㕢㠵㔳㝥〶〳攵攷㈰㠲㈳敦昹戹㝣ㄹㄵ搰攵㈲㥣收㤰㕦㐱ㄹ㕣捥㈱捣㈵ㄳ㙢愰挸换攵㠲㙣㉥㝦昷慤搳晢㥡㌱㑤攰㑡㘸ち攲搴㉥慦〵㕢㠵㔳晡㝣㈰㠵㈰㠲㜳〵㌲㕤㐶愰㍡㑣㐵搳晣戲挲㜹ㄵ㈴捡攵㥤㌴㠸㍦搲㠲㌲戸㥣㐳㤸㑢㈶慥㠱づ㉦㤷㌷㙢捦㌲晡㤵晦愶〵ㄹㄳㅢ慥㠵愶㈰㑥敤昲㍡戰捡攵敤改昲㔰扡㝣ㅤ㠲㌲㕤捥㔵晢㕡㡦ㄸ捡㘵㐴敦㍤攴㌰挷攵昵〸挹㈲㤴㌹㘴攲㝡挴昳㜲昹慤㙣㉥扦愹〵ㄹ㔳㌱㌶㐰㔳㄰愷㜶昹㐶戰捡攵扤㘰愰摣ㅢ㐴摣㡣愰晣㕣扥〹㌱㤴㔷挳挰㤸㐳㡥㜰㕣捥㈱㤴㌹㘴攲ㄶ㈸昲㜲昹㠵㙣㉥㍦慦〵ㄹ戳㐷㌶㐲㔳㄰愷㜶昹㌶戰捡攵㕡扡㕣㐷㤷敦㐰㔰㝥㉥摦㡥ㄸ捡攵㔲㌰收㤰ㄳㅤ㤷㜳〸㘵づ㤹戸ㄳ㡡扣㕣㝥㉣㥢换扦搲㠲㡣昹㉥㜷㐳㔳㄰愷㜶㤹昳㕤㤴换つ㜴戹㤱㉥摦㠷愰晣㕣扥ㄷ㌱㤴换㍢㠲㌱㠷㥣敡戸㥣㐳㈸㜳挸挴晤㔰攴攵昲摤搹㕣扥㑢ぢ〶㑥搱㈹㝡〰㥡㜲捥㐶㘰㜵愲㜴㘶㈲搴㌹ㄵ摤搷㠹㘴戱㥥㘹㕥搲㤸㠸㜵㘳㈲㐷㌲挰搹㈶㡤㤸ㄹ㠳づ攲愵㤱㑥㍢㔹挲㠰㔶㜴摣ㄴ㜱㥥㡡愵㝡㘴㔲愸㙦ㄷㄶ昸晤㘵㈵㕥㘹㑤㌷扡昶搱㕤㡢敥㤹晡搳㌳昴㝦㜲搴㈴づ㘵攱㕤㔸〸㉡㕢㔸㌸慤㉣㥣〷㜱㐹㝦〶〰收ㄲ㜰㌴〱㡦戸〰㈳挱㤷㤶㜲ㄴ㑢捥㈳㘰㍥〱㑦戹〰㘰㑤ㄲ挷㄰㜰㉣〱㑦㝢〳㡥㈳攰㜸〲㥥㜱〱㕣㐹㥣㐰挰〲〲㕥㜶〱挰㥡㈴㑥㈴愰㡤㠰㔷扣〱ぢ〹〸ㄱ昰㥡ぢ攰㑡愲㥤㠰づ〲摥㜷〱挰㥡㈴㍡〹戰〹昸挰ㅢ㄰㈶㘰ㄱ〱ㅦ戹〰慥㈴扡〸㠸㄰昰㤵ぢ〰搶㈴㜱ㄲ〱㡢〹昸扢㌷㈰㑡㐰㡣㠰㝦扡〰慥㈴攲〴㈴〸戰㠴㘷㘹㜶ㄳ戰㠴〰㡥㘰㝡ㄴ㜷㤲㠰ㄴ〱ㅣ㤵㌴〰㔷ㄲ㘹〲㝡〸ㄸ收〲戸扣㔸㑡挰㌲〲㌸㘲㘸㌴戸〰换〹㔸㐱〰㐷〱つ㘰ㄴ㄰晡㡥㍡㤹㠰㔳〸ㄸ攱〲戸㌴㥣㑡挰㘹〴㜰㠴捥㘸㜰〱㑥㈷㘰㈵〱ㅣ㜵㌳〰㤷ㄷ慢〸㌸〳挴捦扥攵㠱ㅤ㡣慥㙥昷晥㈳㄰㤵㐸挳ちㅦㅤ挷㠴摥戲㜰㝤㑦㍡㌱㌵㤲㙥㑡愵换挳㈰㘰搵搰挲慥慡㑢摤㌵㙣㌱㈶㍣㉦㘲㉦㥢㡢挹㉥㝢㘶㡡晡慤㝤搸㈳㔳摥㤴㤸㥤㐸㌷㐵㔲摤搱搰㡡㝤㍣挴㡥㘴㝥㤷ㅤ挷㜰㔶ㄲ㜳晤扥て㤴攸敥戶㍢㍤㙣㙣㔵㜳㕦愶㌷晤㄰愶〹ち㕤㕢挵㡣ㅦ㈱ち㜲慥摤攸换㜷㡥㕤昸㌰㑢㐸㙣摤散㐲昵㤵㐱㕦㄰敥㠹〲㈸挱扤㈸捦〶捦ㄹ㠷ㅣ㜹挸㝤㡢戸挶㥤搸戴㈸つ愳㔸㥤戰ち㍤戰㌹㍤㥥挲敢扤㔴㕦捤㡡挴㉢㌵㍢愷㈷摤㑦ㄲ㕡㍥㔴㑢㌰㤵㘹㑥ㅣ㐵摦ㄱ㑡㜶晥㄰㑡〵㡥攱㜰㡡〴敦ㄷ㙢㉢㌳摡㔱㔳㔰戰搹慣㌳摢扣ㄲ㝤摣㍦搶㜹捤〱㥥㝣㠶敤搸昷㔶挱散敥ㅤ捤㉢攱搵㉣㍢ㄴ㔷愵搰㥡敥㙣戲㤷㔶㉡㠴㡤挹㕤㔸㈹ㄴ戵㠷昶扦㔴ㅦ㔹ㄹ慥㙦㑦㈵愲㍤㘹扢戲㤷㔳て扡っ户搸㔱㑣ㄳ㕢㙡㤷昷㜲捤ㅤ㘹っ㔲昷敡攳㐸昲て愷㠴㤰㈳㐵扡㤴㠴㉡㈷㉢挷捤摢摦〹㍥㐳㕢昷昸ㄴ愰摣挲敡昸敢愱攲慡戵㍣㙥㍤戴挰㌰㥣づ㠷〷㠹〳㜷㕢㍥挶捡㈷㘹愸ㄹ晡㜷摥㜰敡攵㔵㙥挲㌸扣㔹ㄱ㔶敦㍤捣㘱攰㍡㤵㈱㝣㜴愲愸㘴愵㈳ㅤ愱㘸㜴㐵㘵㜸㝡扣㈳摡搳㘹捦っ戵摢㔱昳捥㑥㈴㘳㍦㤰昲㔲㉢㉣㥤戲捡㤱㉦㝡攰㜹㍡㤶㔹㥡ㄱ摤慤㝥捤ㄵ挸㜳昰愴愹㤷ㅤ㜴愰愳㐷㍦㜷ㅣ㑥捤㝢㐰㥢敤㤰敤晢愶㘳愸戵㜷㜸戵㘵〴昱㥤挶昱挵摥㌱㜱昵挴戹㘰㌳ㄳ㌳ㄳ㤸戰摥改ち㍡㈲攲〴晤㘰㥥㉢㔵㑣㤸愷扣戵ㅦㄸ攴ㄵ㡥捤㝡㜰て㉦㍤攷ㅡ㤵㜱攷攱攰搸昳ㄶ㡤晦戳㔷㜶〸摦㘰捥愲挹戹㤱㜴搴㉥ぢ慢扡㠱攲㑢昸㐸㌰㌷㡢挳㜳扢㌰摦戶愹㈲㍣㉤ㄹ改㡣㐶攲㌶㉢㈱㤸㍦挳㜹㌲㌳敤㐵㤸敡摦㥣㐸㐵㌸〳戶㈲㍣㌷ㄹ㡡愷搸㈶㠹㜷慣搸扥摦㤵㉡㉣㝦戸㈱ㄲ挷〳攴愴㐹㝥㐸戸戵㉢戱っ㡤㡤㥥㔸㝣㕡愸㍢昵㠳㈸㈸攴愱㍥㥣愷捡㈷㝣㍥㔱攲㉢搹摡㙦㤵ㅡ㝢㐵㠵愰愰愰ㄶ㝡㝤㈴扡戸㌸㑢㈰挷㌳㍢㘰ㄶ〶敤敡户㝡捥㜳改㐱敦扡㙡扥㠷攵〵㜸㌴换晦〳㘴挶戴愳愷昷捤搰ㅡ搴㈲㘵㍦攷㌵攴昸ㅣ愸㕢愳㜷㍡〸ㅢ摤㤵捥敤挲㌰摥㍤㔲㤵㍡慦〶摥㠲愵㘱㠵攱摤㠸㉦㈸攱㘴愷㘲敤㐲㌹ㅥ㝥扣㝥㌱㜳〲敦摤㑡攷㠲㜳㘷㘲愱㈸㈶㝥㈹ㄹ摡戰戱㄰㙦㉦摥㥡慤㜸㜷摢㈵慡㝥㡤户㠹っ㠳愸㝢㔰〷㠵㤶㈳㈸戴㕣〵攱㤳捣㈹㕥㡡愷慥挴愲㔰ㄲ㜳戹㘳㤱㡥ㄲ㕥㜰ㅡ搶て攲扥挴㉤㔴㠴捣㌴㠷扡㌹㔱㔹ㅤ㌸㥦挳㤹搹㠰攲慥㐶晢㠱㔹挷攲挷摤敢㔳摦㜱戱㤵昳㘷㜰晢慡ㄷ扥扣〸摡晣㌸㔵〵㔷搹攲慡㠴攱挶㐰㈷㌸愴昸㔲㡢㝡㕣攱慦㐰㕥捣㈸㘰㜸㡡㐶〴㤹挶ㄴ愳敢㍥㠴㑢㠰㤱㍦〵ㄱ㥣晣攲〱㔸㑤挰愵搴㌴ㄵ㠰㠱户㕦搶改ㅣ散愰挰愲ㄸ捣㘰㈹㠹戱㑢〴摦㜲ぢ㡢㘱㌰㕤愵ㄸ捤戰戲ㄲ㑥昷㤰㤷㐱敤㜳捦㍥㝢〸敤ㄱ㥣㉦㘱搲摦㕦ㄹ〸㘴㠱扣㥣改慦〱ㄱ㉤㉥〰㘳㘸て慥㈰攰㑡〲㕡扤〱㙢〹戸㡡㠰㜹㉥㠰慢㐱㜹㌵〱搷㄰搰敥〲戸㤲昸ㄹ〱搷ㄲ搰攱つ㔸㐷挰㝡〲挲㉥㠰㉢㠹敢〸戸㥥㠰愴ぢ攰㑡攲〶〲㌶㄰㤰昲〶摣㐸挰㑤〴㉣㜵〱㕣㐹摣㑣挰㉤〴㥣改〲戸㤲戸㤵㠰㡤〴㥣攵つ戸㡤㠰摢〹㌸挷〵㜰㈵㜱〷〱㜷ㄲ戰摡〵㜰㈵㜱ㄷ〱㜷ㄳ㜰愹㌷攰ㅥ〲敥㈵㘰㡤ぢ攰㑡攲㍥〲敥㈷攰㝡ㄷ挰㤵挴捦〹㜸㠰㠰ㅢ扣〱てㄲ昰㄰〱㌷戹〰慥㉥㡡㠷〹㜸㠴㠰㝢㕤〰㔷ㄲ晦㐹挰㉦〸戸捦ㅢ昰㑢〲ㅥ㈵攰〱ㄷ挰攵挵慦〸㜸㡣㠰㑤㉥㠰㉢㠹挷〹搸㐴挰ㄳ摥㠰㈷〸㜸㤲㠰愷㕣〰㔷ㄲ扦㈶攰㈹〲晥攰〲戸㤲㜸㥡㠰摦㄰昰愲㌷攰扦〸㜸㠶㠰㤷㕤〰㔷ㄲ扦㈵攰㔹〲摥㜶〱㕣㐹㍣㐷挰敦〸㜸挷ㅢ昰㍣〱㉦㄰昰扥ぢ攰㑡攲昷〴晣㠱㠰捦㕣〰㔷ㄲ㉦ㄲ昰ㄲ〱㥦㝢〳晥㐸挰换〴㝣攵〲戸㤲㜸㠵㠰㍦ㄱ攰〳㌱㙦ㄸ㔷ㄲ慦ㄲ昰ㅡ〱㠵摥㠰搷〹㜸㠳〰换〵㜰㈵昱㘷〲晥㐲挰昶㉥㠰㉢㠹㌷〹㜸㡢㠰愱摥㠰晦㈶攰㙤〲㠶戹〰慥㈴摥㈱攰㕤〲昶㜲〱㕣㐹扣㐷挰晢〴散敤つ昸㠰㠰て〹ㄸ攱〲戸㤲昸ㅦ〲㍥㈲愰搶〵㜰㈵昱㌱〱㥦㄰㔰攷つ昸㕦〲晥㑡挰㐴ㄷ挰㤵挴摦〸搸㑣㐰㠳ぢ攰㑡攲㔳〲㍥㈳愰搱ㅢ昰㌹〱㕦㄰㌰搵〵㜰㈵昱㈵〱㕦㠱〴㕡㐰㜸〴㕡つ㌳搷㌰㐷ㅢ㘶ㅥ㤸ㄲ㘰慣扦㠳〹㌴㌶戴昵㔶捤戹愴捤晡ㅡ愱㘵㙤愸敦㘰ㄱㅡ㙢㔰搶㍦㄰㔰搱收㔴愴㥤㡡㡢昵㑦〴㤵㈳愶扡㙣挱㝣㜸敢㕦〴愹㤰㘴㝤㘷㘷ㄲ昳㌷慤㙦㄰㔴㠹㈰㔷搵搲晡ㄶ㘱扢㌹㌰摤㐹挸㌴㘷㈷愶敢㍤㔱慣㝦〳戰ㅤ〰晤户㑡〹捣㐷㌰㙤㉥ㄱ愲愴〴㍣㍥晤㔵㜴㠱ㄳ㝢㈶㡦㍣㍥㥦㘵㜲ぢ戸戰㌷㍡戲㙡挶昸㕡ㄹ愴づㅦ㜴愸㕤㐹㌰㘸㔱㄰㌸㠶摡㜱〴㡥㌵捣㜱㠶㌹摥㌰㈷㠰㔱㌹㔸挴ㄸ戰戶㝦づ㜲㜳㤹㝥㌹㘸㈱㘰㐰づㄶ㈳愸㕦づ㑡收愰挵扤㠶〶收ㄹ〷㍥㜲收㔹ㄹ〰ㅥ㜹戶㐰㕢改捡㌳摥㌳㔶〵攰㕢㥢㘷搸搷㘱〴㜵っ㠱づ敥愲ㄲ挰㙦攰㐴㤳㉦㙤㠶㔹㘸㤸㤰㘱摡挱㌰换㈴戳㑣㌲㠷㈴㜳㐵㌲ㅦ㤴敢㤲慥㑢晡㉡改㑦愰㐳㐷㜰㔹晦㈳愶扣㉢㠴㕢㙢㍤㤶昲㡦愵㡥攱搰挱㍤㕣㜶㘷㐲㥤挶㐴摢㌰㘱挳㜰㜴㠴㐷愰ぢ㑣㕥搶㜳搸㠴ㄱ㕣搶搷攱搲ㅡ㌹〸敢㙢敡㈴摢㜳搶㝥搰愱㜶㤰ㄹ㑤昳㑦㌲㌶㉥㌶っ㐷㕤㜸〴㘲㠶㠹㠳挹换晣㠴㡥攰㌲㝦㌲㌴㕡攳〷㘳晥㈴㌹㠹㍡㈶㍡收搷捡〳㘸㝥户戱㜱㠹㘱㤲㠶㐹ㄹ㈶つ㈶㉦昳㝢㜴〴㤷昹ㅣ㐳戴敡〷㘱㍥㜶㜱㤸㐲ㅤ㡤搰挱摤㜳㥡㘸晤㔲㘳攲㌲挳㉣㌷捣ち挳㥣っ㐶㔹捦搷慤攴摢㔵昲㡤㉡昹づ㜵敥㝣扥㈸㈵摦㡣㤲㙦扦挰㈹㈰〳敥㥤挳㤹昲散㐱㔸㕦㌷㔹㌶㔱㐷㌳㜴愸扤㝢㡥愲昹愷㈲㈵ㅥ㠱搳っ㜳扡㘱㔶ㅡ㘶ㄵ㤸扣捣㍦㐳㐷㜰㘵晥㤱㐸挳㍡㝥㄰收㡦慦㤳㌳愸㘳㠱㌲ㅦ㍢〷㥤〸挶㝦ㄶ㔲捡戵攱㐴摦㔸㑢㌱㥤㜴つ㠰昱扢㤶摡㉥㝣㔴㑦㈸㡡㡤戸收愰ㄷ㌶捤愰ㅦ㐲搳扢挸改ぢㅦ戸㌲慤晦ㅥ㐰ㄸ扥㔳㉥ㅣ扦㘰て㜸㌶㌰て晡㘳戵㙦㈹㈲户慥慦扣搴㝦摤㌷摦㝤户㘵愹愰㍥㕡㔰扣㤴晢㐰戴戵ㄵ㤴㌰㑤㤴ㄴ扥搶ぢ昱挳㠶晡搹㈸㌳㘲㘴㠸攱晡㄰㍦昶ち昵㥦㠳搰ㅣ㕤㔶〳扡㤹愹㜵㘸摦㕣〲㜶愵㡣㠹㜲捦㍦慦㐹〸晤㝢慥摡㘱㡢㌸捦搸搰㠱㉢昰敡ㄴㄷ㤸搰㑥㘲㄰㑡戳晤ㄷ㈱昴㝢晢㐲搸㠱㠲〱㌴昴㡡戴愶㔷㐴搱ㄳ㐵㔶敤㑢攱〴愲㠷挰ㄱ挳攸㐴ㄲ㕤敢㐵〳㤷〶昵挶㥤㠸㤴换㜶ㄸ戰ㄴ㑢㐵愳攴㍦㘰㡤晦㙡ㄴ㔱搶昸㌴扣慦㔴ㄸ㠷㠷ㄵ㠶㌳㍢捣㡡㜴㈴ㄳ愹㐴㌸ㅤ㙣㐵㡦㙡㤰㡢昳挲攸㕢慦昷慦㠵㐶捦㌴改㔸㔱ㅣ昵㌶扦㉡攸搲挵昱挴戲戸戲挶㥦攲捥㉤㔴㉦㡢㡢㤹っ㝢摣搵戱㌷㌲㑦晣挴㘴㘶ㄷㄲ戶㄰捥㌳㜰㌱㐲搵ㅢ㈶㠲㔰㜹ㄲ挹㘲㤲㈸㐹っ愴愲㌰㜰〹㌰㍣〲㍦㌵捣㙡挳㕣慡㤹㈱㤷㠱㘱㝡㔴扡㑤㡦挰攵搰っ㍢ち慣㌸攸挰敡㔹〲㘱晤㙡㜲㔶㌷㐲㍣敡㘳㙢戴㤶扥㡤户㘴ち挸挰ㄵ摡㠱挰㤵㠶㔹㙢㤸慢っ㜳㌵㤸扣摥挲搷攸〸慥户昰㝣㝡㜰ㅡ㔲摣摡敡搳昸〳攴㍣敡㔸〹ㅤ搸搶㘸㠲㕣㐵昳㝦㘶㙣扣搶㌰敢っ戳摥㌰搷㠱㔱收㙦㘹敤敦㝡ㅤ挱㘵晥〲㈶㝤挱㈰捣挷㌶㐸㕣㍣㘳㕤〸ㅤ捥〶㘳ㄷ搱晥ㅢ㡣㤱ㅢっ㜳愳㘱㙥㌲っ晢㤹昲捡晥㕢㜴〴㤷晤ㅤ㑣晢㡡㐱搸㍦㝥㤲㙣愷㡥戵搰㠱散㥦㈸慦愲昹散攱攲ㄱ搸㘸㤸摢っ挳㙥㉤㈵扡〳㑣㕥搹㝦愷㡥攰㌲㥦㑢㔰慣つ㠳㌰ㅦ㕢㠱㜵㔱挷㑤㌴㥦㥢慢摤㑣昳敦㌲㌶摥㙤㤸㝢っ㜳慦㘱敥〳㤳㔷敥摦慦㈳戸捣攷㜲ㄲ敢㥥㐱㤸㕦㜷㠰㡣㔳挷㝤㌴㥦㕢扢摤㑦昳㝦㙥㙣㝣挰㌰てㅡ收㈱挳㍣っ㈶慦摣㝦㐴㐷㜰㤹捦愵㈱搶愳㠳㌰扦收〰挹搵㈶搶㘳搰挱㡤攵ㅥ愷昵晦㘹㑣晣㠵㘱㝥㘹㤸㐷つ昳㉢㌰㜹㔹晦㤸㡥攰戲㥥慢㍣慣摦づ挲晡扡〹昲㘴敡㜸づ㍡搴戶㜶扦愳昹㡦ㅢㅢ㌷ㄹ收〹挳㍣㘹㤸㕦㠳挹敢摥㜹㑡㐷㜰㤹㝦〶㤳晥搳㈰捣ㅦ㡦㔷㈵㜵扣愶捣挷愶㝡慦搳㝣㜶㔶昲〸晣挶㌰散㥤㔴㈱捦ㄸ收户㘰昲㌲㥦㕤㤷㡣攰㌲晦㕣㕣㕡敦つ挶晣㠹昲ㅣ敡昸㐰㤹㡦攷昸㐳㥡晦㥣戱昱㜷㠶㜹摥㌰㉦ㄸ收昷㘰昲㌲晦て㍡㠲换㝣慥愴戰㍥ㅢ㡣昹㌵昲㐲敡昸挲㌱扦㑥㝥㐹昳㕦㌴㌶扥㘴㤸㍦ㅡ收㘵挳扣〲㈶㉦昳晦愴㈳戸捣攷慡〸敢扢挱㤸㍦㕥慥愶づづ挸愹敤っ㝤㘰〲慦ㅡㅢ㕦㌳捣敢㠶㜹挳㌰㝦〶愳捣摦搲慦敥㕦㜴〴㤷昹㕣攱㘰㤵㈳挵慤慤㌴搴㡥㤳㕣㌴㘱㔵搲㝣㙥愶㌸㠴收扦㘹㙣㝣换㌰晦㙤㤸户つ昳づ㤸扣㜲晦㕤ㅤ挱㘵晥㍡㈶扤换㈰捣挷㌶愴搷㔲挷㙥㌴㥦㕢㌹づ愷昹敦ㄹㅢ摦㌷っ㝢㥡㜹〴㍥㌴っ扢㤶昳捡晤㡦㜴〴㤷昹㕣㜹㘰㡤ㄸ㠴昹搸晤㜲〳㜵㡣㠲づ㙥㈴戹ㅦ慤晦搸㤸挸㝥㙤ㅥ㠱晦㌵捣㕦つ昳㌷㌰㜹㘵晥㘶ㅤ挱㘵㍤ㄷㄱ㔸㜵㠳戰㝥晣㌸戹㤱㍡㈶㐰㠷摡挶㜲㈲捤晦搴搸昸㤹㘱㍥㌷捣ㄷ㠶昹ㄲ㑣㕥㤹晦㤵㡥攰㌲㥦ぢ〲慣挳〶㘱㝥㕤慤攴ㅡ〳慢〱㍡戸㠹㘶㈳㝥㌱㐵搴㝢㌲晦挳晦捡戲攱搳㐳㕡㤰戱㜹ㅢ晢㕥昷㠱晥㠱㝢愲摤㥦㑤搳㝤㕡㤰戱㈷ㅡ晢㐱扤㌴摤㤵㑤搳㥤㕡㤰戱搵ㄸ扢㈴扤㌴㙤捣愶改㔶㉤挸搸挱㡢扤㠳㕥㥡㙥捣愶㘹㠳ㄶ㘴㙣㡣搵㤴㐵搳晡㙣㥡搶㘹㐱挶㝥㔳散㌴昳戲改敡㙣㥡慥搲㠲㡣㙤㥣搸㝦攵愵㘹㑤㌶㑤㤷㙢挱挰摤㤱挴㐲㘸㔲つ敥㘸ㄱㅥㄲ摣づ㍣〳愶㜷㐵愸慥つ摥㈴㈶〴㈸㜴慥〳㐴㐶挶㐱㘵〲愴挲ㄷ攸㌴㠱摤扣㉥っ戰㤱慥㥥愱㈵〴㈵㐹㔲㈴㘹㤲ㅥ㤲愵㈰ㄵ㍥㍦摢敤〷㘵摦㕣挶㌵晥㌳〶㝤㌶晤㌶㙣㍤ㅣㅢ戰慥攰㐳㕢㠸攵㈳㝥㌵㥣㔴攴㍢㜰敢㜴戱㐷㡣ㄳ㤱㜸晡捦㐷㝥つ㐲て㜳戴慦挳㠴ㅡ搹㤵㠵㤷㠳㘰晦〴ㅤㄶ攷㈱〵愶挲㌹昶㈵扡捦攱敢敦〴扢㉥㤴晣㕣㉤攷㡣㕦㤷㥣扤ㅡ㑡㝥㡥㤶敦搶㕦捥づて㈵晦戱㤶敦〹戹㍣ㄵ㌹㉤搸㕢戰て慦ㅥ㈷攱摥ㄹ捥扥ㄹ慢㠰㝣ㅤ摢㜰㘴慣改㕢愹〵ㄹ晢㘶慣敡愷㘹ㄳ搵㍤〱㈲㑥挹愶改㘴㉤挸搸㡥㠲㑤攸㍥㥢晡㌴㉤捤愶愹㐷ぢ㌲㜶㜹㘰㙢搶㑢搳㤲㙣㥡扡戵㈰㘳昳〴㌶㉣扤㌴㐵戳㘹㕡慣〵ㄹ㝢ㄲ戰㡤攷愵㘹㔱㌶㑤㘱㉤挸㔸敡捦昶㤶㤷愶昶㙣㥡㐲㕡㤰戱㠲㥥㑤ㅦ㉦㑤ぢ戲㘹㍡㐱ぢ㌲ㄶ愶戳ㄵ攲愵改㤸㙣㥡收㙢㐱挶㝡㙦㌶〸扣㌴戵㘶搳搴愲〵ㄹ换愸㔹㌷昷搲㌴㍢㥢愶㔹㕡㤰戱㍡㤹搵㘴㉦㑤搳戳㘹㍡㐲ぢ㌲ㄶ晤戲挶敡愵愹㈹㥢愶㐶㉤挸㔸㑢换捡愳㤷愶㐳戳㘹㥡愲〵ㄹ㑢㔴㔹㤱昳搲㜴㘰㌶㑤㤳戵㈰㘳攵㈷敢㔴㕥㥡㈶㘴搳㌴㕥ぢ㌲ㄶ㔴戲㝥攳愵㘹㕣㌶㑤晢㙢挱挰㜵㡡〱㝥换昰㠷㘹㌲愰昲㐵㤲㤷㐰㑡〵扦㔷敡敤㌸〶㔱昹昶ㅤ〶㔴〹扡㤶昹つ㔳㠲搱㕡戰ㄳ〵㈵摣㥤挸捦敦搹攸散摦ㄴ㘷づ㘷摦㕥㜹㝣㘱晢挳散愸㉦ぢ㍢㕢搵昱换愲㤶挲㐴㔵㉦㜷㌹愶㜳㈶戱㕤昹㑣捣㔰挶㈴㑥晣搷っ㝡戶〲㘶㉥㜳昶㥦㔹ㅢ㈹搵ㄵ㈳㕢攱㌹㐹㉣㤶㉣づ㑦㑦㘱慡㐰㘷〹㜶挵㑥㘳昷挰昸て㘱挰〹攳づ㐵晣〲攳ㅢ慣㌶㍢昷散昲㘷㕦晥挰㜹㤰慥㔵㘷㝤昹㘱㈶晣晢㌸ぢ㜴敢㠶㥢慣㔷㔰㕥㝤晢㤶愹㌱㠶㤴㑦㡣㐲挱㜲㐸愲昴攳摡㕤扥㔳昶㘲㠴㐶扥ち慣昵ㅡ〸户㤱ㄲ捡て慣㠵㤲慦㈳挴㤹㐳捡扤〴戰㜵っ慥搵敤戱户扥㍤昰㥡挱敤挴㑡㡤ち摥㑢〷㜳㠵㘸愹㘰㌵㐷〵㔷改㘰摥㘵愵㠲ㄵㅦㄵㅣ搴挱扣挷㑡〵慢㐲㉡㜸㑦ㅤ㍣㑡〵戳㜲愴㠲昷搰挱晢㌱搸捦㉦昹挰㉣收㘴搱愹戴㝤挰搶㙦㘵㘵捣昷戹㙢ㅦ㌹散摢扡〵昵㠲て㠳搲戸扢搶㜸㌰愲㤴昸㉣挱〷㐴〹㠶㙢挱㈱㑡㈰〴ㅦㅡ㈵搸㑤ぢ㌸っ㉥摦㐷愸㥦ㄹ户挵㈵ち㉢戶㜶㙣敤〳愴㈳㔸ㅣ搴㈱㍦〴㐳㐷㜹づ愱ㅤㅣ㤴昰㉤ㄷㅤぢ㍢ㄷ㉥晣㝡㐸㔱㜰搷愲㘳づ㉢㕦晢搶㌳㙦慦㝥改㠴㐳㍥昸收㥡㙢㕥㝡㜷昵戳摦晣愲晤㤰愷慦扦晥挹ㄹ敢㥥㝤㝢晢昰㝡摦〳㕦捦㕣㝦㙡捤攲㔳㤷㠴㡦ㅥ㍤敤搴㘳㑦㍡慡愶㜹扢㌱㠵㠵挵挵㈳㠷晥㘶攷㔱㠱㔵㑢ㅥㄲ㡦扦扡㔳㕣愸戴㤹散晦攸昴㘹㐳㠰㌶攰て昳扥㐰攵挷㈰愸晣ㄲ愱〲㍦攱㜵愱愰㑣攵摣㔰㥤㜳つ㠸挱ㄷつ昱㑡戰扤ㄶ㜰㜹㠳晣ㅢ㐲晤㡣㥡㘳㐵㐴摦㐳愲㙡搵㌱慥挲攲攳㔲ㅡ㍢㍣摥攳散㥤㙦挵戸㐶㈱扥㥤ㅥ摡ㅣ搳㡢搹扥㌷愴ㄷ㕢搹ㅢ愴攲散攲㉣慢收㝦〴㐰挸㤸㍥愵㍢づ㤴㈸㍣㙣挵㕦㐱挱㕥搹㕦㡣挶㐰㔶㝦㑢挴ㄶ〳㑢搴晦㝥㈰㌷敢ㄴ㐴ㅦ挷〴㠵㘰㕥昱敥㤳㥦㠲昸〹摢〲搵㠳戸〳㍦㐳ち㠲㘹愹㍢昰㜳㌰㍣昸㈳㤴〸㡣晣㐲㡢搵つ㘲㈰〱㠶ㄲ㈷扦〴慤㈸昴昳㈷挷㌳搳㝦㙤ㅡ㠷㈲㉢㘲敥㘹㜳㝥㔵㥣㤹挵扤㍤㌳㝡㑣㍦㘸愹ㄳ㐴㍡挴㘱㝢换扤㑣㡢㜸愳攴㕢攸挵㜰㠰㈷摥㤹㝢攴㉥㜷愷捣户っ愵ぢ晣㉢㈸㉥㘵㐳㐸挸㍥㔶㕤て攱㌵摦戸㤶戳挰敥㘱扥㠶㜰扣㜵㈸㘶挲攳昸攴搰戲晦〳昴慡攱ち</t>
  </si>
  <si>
    <t>㜸〱攵㔹㙢㙣ㅣ㔷ㄵ摥㔹㝢挷㍢㙢㈷㤹戴戴ㄴ㕡愱㑤㥢㌶㠵㐴摢㕤敦㜸ㅦ㔵摣挶㕥㍢慤㤳㌸㑥㙤㌷㉤昴㌱㥤㥤戹㙢㙦戳て㜷㘷搶㐹摡愴㔰愹㉤敦挲㡦搲昲㈸㔰愲ち㔵〸㈱愰て㈱〴㔴㉡〲㠴〰㔵〵㈴㘸㑢㠱ㅦ攵〷㉡㤵㐰㠲㕦〸挱昷摤㜹㜸敤㌸敥㠳愸ㄲ攲㑡㍥㝢敥戹攷㥥㝢收㥥挷㍤昷㍡愶挴㘲戱㝦愳昱㤷慤㥦挸㐵㜳挷㕤㑦㌴㌳㤵㜶愳㈱㙣慦摥㙥戹㤹戱㑥挷㍡㝥愰敥㝡㝤㘰㔰捤㍡挶摤㠴改搶敦ㄴ㐹㜳㔹㜴㕣㌰㈵㘲戱㘴㔲㡢㘳㥣㍣晣搳挳㡥挶㥥搶㑦〰慥搸㤰ち㌰㕦ㄹ㥦愹摥づ昹㜳㕥扢㈳㜶愵て晢㔲㐶㜳戹㑣㉥㘳攴㠷昳㤹散慥㜴愵摢昰扡ㅤ㌱摡ㄲ㕤慦㘳㌵㜶愵て㜵慢㡤扡扤㕦ㅣ㥦㙦ㅦㄱ慤㔱㔱捤收慢㤶㔱捡ㄹ㈳㈳戵㜲戹㌴㌴〰挹〷㘷㉡攳㤹㠳挲㍢㑢㌲ㄳ㔴㍥㍢㈱散㍡扦㔲㠸㑥扤戵㤰挱ち慢昴捦捣㉣㜹㤹㤹戹ち昶ち㡡搶㕢ㅥㄵㄹ㌲て㜵㐴㑤㜴㐴换ㄶ敥㘶㜳昲㤸㉤ㅡㄵ搱㘸捣㡡㥡㍢㘸㕥搳㘹㜷㤷愶㕡㡥㌸搶㙦ㅥ戶㍡㐹昳㥡㙥摤㤹戶㤶㌶㌵慦㜷挵慣搵㕡㄰〷慤愶㐸㌴㐹㡥昷挷晡晢㘲㝤戹搷搳愲㌲㕥捣慣㕡㠶㍢㥤㑣慦㤹挶晤㠱扥晢㐵愷㈵ㅡ㌰㜳㡢捡慥㘷昵㙢㉤㜷搱戳慡つ愱っ〶㍥㐱㘵㈸㌳愵㈵〱搹㌴㡤㈰〵愰昴晦〳慥搴换㌹〸㙡摣戴攲㘶㌵㙥摡㜱搳㠹㥢㈲㙥搶攲收㐲摣㕣㡣㥢昵戸㜹㝢摣㍣〲㥥戰㈵〷〶攲㐱㝢㜹㡦扡㜴㝥㘶昹挰㐳㥤㠷ㄶ晥㝥摤愹㕢ㄳ昴㥥㉢搶㝣挸ㄹ慣攰晢㔵㝤㔹晣敦ㄸ〱㉡扦ㄵ㈳っ〵㍢愷㙤〲愲㙤〶㔰㤴扦挱〸㌴挴ㄳ㈷㕦㝤昸㕥㘵昷㥥晢愶〷户㕤昰攰ぢ㤷㈸っ㍤晡㜲㑡搳〱搹戴慤〴攷〰㈸捡㙢挱㌴晤搹㔷㕥扣戴㌶㌴晤攴〳㝦㝤晥㤹㜳㍥㝤㉣㐱㐳扦㜹挷㘳攸㙢搲㜷ㄱ慣㙥愲戹户摤㜱晢晡㌶㜴戲つ〷改㜴摡㍢〸捥〳㐸搰改㕥搷慤摦〹愶㔴戳搲ㄶ戵ㅡ㔳㔷慡㌹戹㙣㌵扡ㄶ昲捤㐰㜳㜶搱㍤㙣㌵〶㥡㠸㠳改㠵㑥愲改挷摡㠴㜰㙤慤㠹㘸㤴㜱愹〲㙢㜴挵㄰㐴戴㍣㜱捣㥢戰㍣㙢愰㜹挸㐲㐰㝢㥢㌱ㄱ㝣㍢〳〱㐳㘱㤷㜲愲づ挵改攱㐸㈸㜵搳ち〱挲捦つ㝢㍤㙢㐴戲晤愵㌴戹づ〵晢ㄸ愵㙥㤲戴㔰㘴㉡攸㐱㥥㉥搱ㅥ㘱㠳㤲攰㑢敡㐳ㅡ㔱㤰攲晢晡㠳ㅦ扦戳攱挶敦㔸ㄳ㜳慢㤳㐷戴愳㉥摤㔷扤㘴㐳㘶㝣㉡昶㥡㡣㐹㜵挳㌵户慦㈷挶慥㕥敦搵ㅢ㙥〶摦㈳㔳㈷攵扣摤敢㥤㉤扤愹扢㜶㍥㐰攲捦〸扢㌷扡挵㍣㥣〷攸挲挲㌴㘳㐹捡攸㙤㈹昵〲㜴户昴ㅥ㐲㔷收慦㔴摦搵换㐳㕣㝢㌷㐰㉡愵㤱㕢㕢㍢敡て㙥㌴搶捦㔴扦愱昵愸㔸敡㐰摢㜲昶㕡㌶㘳㉤㌸搹㤳㤵㜶㜳〹戱搳搱㜹慣㔴摡㡥㌸搴㘹㉦搷ㅤ搱㐹㤲㌰㠷㕡愲㥦戹㐲㤵㐱攷挲㑢晢㘲㠹挴㘰㜲扤戵愶㐲㔹摢搷愹㔵愶㑥㤳晦㤷敢㑡㔷㐳㈹㝣戵㉣㐴戶〱搵㉥〶㔰㤸㍦㤹摦戴㑢〸戶〳㈴㤸㐹㌷捥㉣挸搵㌴㥤㘲㈹搵晦戳晣搱ㅦ收㡤㔵改攳扤敢㐵㙢㔴㕥㐴㠷昱摥慥慣㌳㜶扥㌱敥昹攳㑢㐲收㤴户㍢挴摦敥昵捥㘶㑡㐹㈵㕥㐲㍡㜹㌳㍢㝣㝡㑡㈱㈵愵㕥〶㌸㌸㌳ㄷㄹ敦昴㐴㜱㌹昹㔲ㅡㄹ捦㌰戸搱㤸挲㕡㠵㤹㠴愱挹挲㈴〸捤㉢㈸㉥ぢ愰戰㐶㤱愱㤹㈳㘹㤸㈴㔹慤戰㤷㘷敦攷昸㔴㘶㑦攰㔱㑢愹㈳挰㔷攷挰攱㉢愵㝥㉣㐸挲愶ㄵ㠱㐱㜹㌲㥦㘱㜰愳㌱㠵ㄵ㔳愸㍣㘵〶捡㕦㐵㜱㑣㌴ちぢ㤵㤰挱晦㍡㤹昱昷㤰㘱㡣っ㉣㘲搶㘱ㄸ㈷㐳㠵っ捣㌰㈱〳搰㜰㠹〹愰摡㈴㠰㈲戳㌸㄰㙥㈰昷㈰㤵㤲摢戳㤷っ搷〰攸捣㜲㙣㍡㌳ㅤ㥢挲㈴ㄷ捡㤴㘶昶搳攱戵㈰㙢㔳㘴㘰〲㕣㠷㘱ㅦㄹ昶㤳㐱ㅡㅤ〸ㄷ戵挸散㉦㝡㠰っ搳〰㍡敤㐷搱㐹㥡㉥愶㑢㑢〲搱づ〲㈸戴㘴㈸扥㘷㔷㘶挸㜰㠸っ戴昲㍡っ搷㤱㘱㤶っ㌴㝣挸〰㌴摣㤵㌹愰摡㍣㠰㈲つぢ㠴ち捡昲捦㔷昰㝡㌲ㅣ〶搰㘹㈳㌶㕤ㅥ〸㐴昶〰昰㜲愱摥〰㜰㘹㘵扣㌲㙢摡㠶㔱㈸㘴戳挳戶㜰㜲㐶㌵㘷㤴㙣㈷㉢戲㔶づ戴㕣㉤㕢㜲搴ㅢ㈳㔶挳挹ㄷ㙣扢㔴ㅥ戶换㌵愳㥣捤㤵慡㐵愳㔴ㄲ㈳㑥㜱搸㌶散㝣㔱㝤㝦挴敡攴捡戹㠲挸攵慤扣㘳ㄹ挲戶慢愲㡣㥢㙢戹㔸㌴㉣㈳㙢ㄷ换敡〷㈲搶㥡㔵慡搵捡戵㙣㜱愴㕡㌶㜲〵扢㕡ㄵ㡥㔳㌳㐶ち戹㕣戱㔰愸㍡晡ㄸ㔸愹戴㜶ㄳ挱捤〴户㄰摣ち愰搳㡢攴愰㐹搲㙤〴㌴㤶㔶〵搰改㕤㜲㔰㑥㈲扦㍦㤳㠲昴〹〰㌶㥤㉥挶愶㑢㝦〲愲㉥〰㥣㙢㑥戹㠷摢つぢ㜵㤸㘰㠲挶〱扥愴㉥㘲㘰㑢㘵摣㐴㜵㠷戲搳愹昳挱㐰慤㠳戸㈹㈴㌶㥢㈸㤸搵摢㐱摡っ搲㐴摤㕤㙡㔸挷㔹捦慡扣晣つ㤸㤳㜷㐸㐱㡤㠰〱㠲收挴ㅤ㕤摥㥡搵㈶攵㤸慣㌲愳昵㕡㈴昹愲㜱搵㙤㜴ㅤ愱戶㐱摡㑡㤲㝣㔰㤸㜲戰㕣摤㍢慥㌳っ㜸㔱㐸㉡㡡扡㠴摦昸敥㔱昵づ晣㕥戸㕦㠸愵昴攴戱㈵搱㜲㠵㥢㍥㕡昷ㄶ敢慤昴㜸搷㔹㄰㥥摡〱挳㐵㠷摡ㅤ慦搶㙥搴摢戸戴〷㕣扢㐷㐳づ㤴㈶戱戱ㅤ㌷㐵㍣㘹㈸㕣㙦搶敦挴戶戴㕢㔲㕡㝡㔶戸敤㙥〷户晥攵攱捣戱㠶摢扣㠵摦㍤㌶㍦㘶敥搸戶㝤㝣㝢㉥㥢捤ㅡ㝥㠴㘸ㅥ㠴㈵㤵㤸搶挵慦捥㐸㘴昴愸换〰扥㉢㤶㑡㜹㐷搴慣㙣愱㈸㑡挶戰㔱㠶换㠸慣㘳㕢㐶つ㙦ㅥ㌵㌱慣换挰〵扢㜶ㄴ㐰摦〷㐰〹摡㌱昶㘴捣戲㈷挷ㄸ愵っ㍢昵㑥㠰㘰〷挷㥣攵㌹捦昲搴扢㐰㡡っ㜱〲ㅤ㕡慡搷㄰㈷㔷收㠴扢㝥㌷㐸敢散㍡昳㠰㕣收㠳㐰晡愷㠵搵㔲㍦〴散挶扢㑥捣戶摢摥〹㕣〴㠵㙤戹㥥㝢攲捤㙣攰㠹㘹搴㡢㡤ㄳ昳㙤捦㙡愴挷㐵㑢搴敡㥥㥢㤹㥥ㅣ㍢㜸搲摦㐸敥攱㍤㔸㘶㠰㤹㐶㙥㐱ㅣ扦㝤扤慦ㄱ捡摤㌸㉤㜸㌳㝥敡戲㔷搲摦㜹昴㥦晢ㅥ扦晣收㍦㙤扤晢㡦慦㉡㈷㠳㠱㙦扤㜰昴昹㝦昵㥢㤵挷づ㍣㕢㙥敤扢昱㐹㥤愹㠹挱愲摥ぢ攰ㅢ挴ㄸㅥ㈹㤴㉤〶㘶㜹挴㐰昰㔶ㅤ㘱㠸㥣㕤捡ㄶ㙡攵扣挸ㅡ敡㝤ㄱ㙢愱㘸㍢攰㉢㤶㡡戵㠲㘱搷戲搶㠸㜰戲愵㐲搶㈸ㄶ慡㠵摣㐸㐱扤㍦㘲捤㠹㝣戹㔰㜲戲挳〵搸戵㘴ㄴ慢搵摡㠸㘳㘷慢づ㝣愵㠴ㄴ愰㝥㌸㘲㉤ㄵ㙣㔱㉥㤶㈱㍣㕦㌵㥣愲㔳捤ㄷ㜳㔹愳㉣昳づ㝣挵搶㤹㑡㘵㠴㝦〴㠸昶㔱㠲㡦ㄱ㝣ㅣ㐰㘷㉥㤵㠳㥦㈰改㤳〴て㄰㝣ち㐰㘷㡥㤵㠳㤲㕦㑥攷㈴㈹㐳㘷㤲㘵搳㤹㘸搹㜴㤹㔵㠱愸て〲慣㥢ㅢ㍥㠳㠱搳㜲挳㐳㈰慥㑤〴て㠳ㄶ昹摦㘷〳㠶㕥晦晢ㅣ㘸㙢ㄲ挱攷㐹昲摤ㄴ搷〱㤹㘳扥〰搲改㉥愹㍥戲挲ㄹ㌸慦捥挳㈰捣つ㕦〴捥摣昰㈵晣敥㠸扣搲㡣㠲㜸昷㘸㠸㥡ㄵ㙢挹戲㤱㕢搲敡㤷挱晣㕦㘷㠱㝣ㄲ㝥ぢ㐵ㅥ〵㔰扦〲昰ㅥ㤹㥡挲攵愲摣ㄴ㉥慢㥤〲て愶㈴㤸慤㕦昷㑤㜲敤㙢愰㡡㐹攷㌵愷㕣扣㍦攲戱㜵扥㍤ㄶ扤㌲㙥㤵㜷㉥搰㜷㠶㑦㌶㤷慥㔰挶慡㙥扢搱昵㐴㌸㙤愶ㄳ捤挳㌳〴㙥愳㜲ㅥ攲晡扣㤵㕥捦〳挴㠵㉢搴㈹攴摢㡥㈷㥣㔰愲㡢㜷愷晥㜸㥦㌲戲收㑥㜰愶㜷㍤晦挹㈵㝣㐲攵攷㕣戸捥晤㙦扣敥挹攷㙡㡥㉢ㅡ㑦㜵昵㌱〰㙤㜴晢㤸㥦㝡ㄳ㌷㈱摥摦摡㥡戴搶捡ㄵ㥣㉢戰愵戴慦〲㉡㍣㔱㘹ㄸ㐵㘳㝤愰㍥づ㠰㐵㈷晣㐵㤵ㅢ戰㈸ㄷ敥〳㌹愵㝤㡤㝣㍣戲晤〹慣ㄲ搴慦〳㘰㐲㜰㐰㈸㜳挱〴慥㤹搲扥〱愸昰戸昶㈷戰㔶㔰扦〹㠰〹㤵㘰㠵㤹㘰〲㌳㕦㑡晢㌶愰挲ち㈰㕣㔴戹㉤攸㜰㕣戱㠲づ愵㉢搵愰㠳㥦㔸㠲㐷㔲㝥㡤㐵㔶扦晡挰扡㍢昱ㄷ㍣㜵㠷愷昳敡扤ㄹ㠰ㄴ㔲㠶㥥〰挰昴㠹㜶ㄳ敦攲㘷敢㑤㥥挷攵摡㝢㡥昴ㅡ㝦㤹攸㜱㍥慣〵㜸㈰つ㌵㘷散敡㝣㐷挸㜷昵愴散愰㠶搹搴扣愱摤㌹㔲㙤户㡦戰㈲搹㉣㝢敥愲㄰ㅥ㥦扡〷㥢㝥㐹㐱㕣㔱㤴扥㔵攷㐹敦搹挲㡦㔴㥦〴搸㌴搶㘸愴㐳㠹慥晡ㄴ㐸㝤搸㉡昵㘹㈰㤷㑦捤愷㔱改昰㥦ㅥ改㈸捤慣慡ㅥ㑡㤹㈲敢〵㘵ち㤶攴㐹㔵㝡攴攸㉤ㄷ摦㝣㙡收改搷慥㥡㝦㜸敦㜳㍦㔶慥つ〶搶㍥㡦㉢㍣攱㝤捦㘰敤愰㝥ㄷ㈰㜲昸㥣㌲ㄹ㜸〶愸昰㡣敦〱㉡㉣㄰攸ㄹ㈴㈹昷〰㜰㑢搵敦〳慣昹㠴ㅦ㠰搴㠷㙤㔰㥦〱昲挶㍦㘱㑦愰改㘹㥦㜰㜵㌰㜰摡晢㌴捦ㅢ晦ㄳ敥〵愶晥㄰㈰㜲敥扣戲ㅢ搳愸慦敦摣㍦挲愰挲愳捤㥦挰㌳㔷晤㠹㍦挱て昲扣㔲ち㈶㠰㡡㙦晥㈹愰挲㘳捤㥦㜰㍦㌰昵㘷〰㔸挱て搰扣㘲〴ㄳ晣〰晤〵㈷昰昴昳㈷昰晣㔵㥦昳㈷昸〱㥡㔷戲挱〴扡㜹㑡㝢ㅥ㔰攱愹ㅡ挵ㅢ㑦搷㔰㘵㠵愷㉣㍢㘴㔶㜸摡戲㠳㥦㤸昲㈸〰㘳㑥㡥㥣〲㈲㉤昱㑢㈰㙢㉣昱㉢㤰愴㌳晤ㅡ挸慥昵㍤㘸晤晡㔳搹㠹挵搶㜵愸昷〵〳㙢㥦晤晢㤹搱㌶捡慥摣愵㠱愶㘹昱ㅦ㠳挹愶搹㄰慤〵㙦㌱晡㘷㈰愲㍦㠹晦〶晥〶㑣㌴ㄸ㥢挲㤴㐷愹摡㙦〱㈲㉡昳㥡愴扥搰㑢㘵昲㤲搴ㄷ㝢愹㜴㕣㐹㝤愹㤷㑡㕦㤰搴摦昵㔲㘹㜰㐹㝤戹㤷㑡慢㑡敡敦㝢愹㌴㥤愴晥愱㠷扡㠵捡搳㈶㐹晣挵戶㔰改㤵ㅥ㤵㕤改㔱挹㤵ㅥ㤵㕢改㔱愹㤵ㅥ㤵㔹改㔱㠹㤵ㅥㄷ㡦㝡㠳晦〱㠹㔷挰㙤</t>
  </si>
</sst>
</file>

<file path=xl/styles.xml><?xml version="1.0" encoding="utf-8"?>
<styleSheet xmlns="http://schemas.openxmlformats.org/spreadsheetml/2006/main">
  <numFmts count="13">
    <numFmt numFmtId="44" formatCode="_(&quot;$&quot;* #,##0.00_);_(&quot;$&quot;* \(#,##0.00\);_(&quot;$&quot;* &quot;-&quot;??_);_(@_)"/>
    <numFmt numFmtId="43" formatCode="_(* #,##0.00_);_(* \(#,##0.00\);_(* &quot;-&quot;??_);_(@_)"/>
    <numFmt numFmtId="164" formatCode="_(&quot;€&quot;* #,##0.00_);_(&quot;€&quot;* \(#,##0.00\);_(&quot;€&quot;* &quot;-&quot;??_);_(@_)"/>
    <numFmt numFmtId="165" formatCode="#0"/>
    <numFmt numFmtId="166" formatCode="mmm/dd/yyyy"/>
    <numFmt numFmtId="167" formatCode="\$#,##0"/>
    <numFmt numFmtId="168" formatCode="&quot;€&quot;#,###"/>
    <numFmt numFmtId="169" formatCode="&quot;¥&quot;#,###"/>
    <numFmt numFmtId="170" formatCode="_([$$-409]* #,##0.00_);_([$$-409]* \(#,##0.00\);_([$$-409]* &quot;-&quot;??_);_(@_)"/>
    <numFmt numFmtId="171" formatCode="_([$$-409]* #,##0_);_([$$-409]* \(#,##0\);_([$$-409]* &quot;-&quot;??_);_(@_)"/>
    <numFmt numFmtId="172" formatCode="_-* #,##0\ _€_-;\-* #,##0\ _€_-;_-* &quot;-&quot;??\ _€_-;_-@_-"/>
    <numFmt numFmtId="173" formatCode="&quot;R$&quot;#,###.##"/>
    <numFmt numFmtId="174" formatCode="&quot;HK$&quot;#,###.##"/>
  </numFmts>
  <fonts count="14">
    <font>
      <sz val="10"/>
      <name val="Arial"/>
    </font>
    <font>
      <sz val="10"/>
      <name val="Arial"/>
      <family val="2"/>
    </font>
    <font>
      <b/>
      <sz val="10"/>
      <name val="Arial"/>
      <family val="2"/>
    </font>
    <font>
      <sz val="10"/>
      <name val="Arial"/>
      <family val="2"/>
    </font>
    <font>
      <i/>
      <sz val="10"/>
      <name val="Arial"/>
      <family val="2"/>
    </font>
    <font>
      <b/>
      <sz val="10"/>
      <color indexed="9"/>
      <name val="Arial"/>
      <family val="2"/>
    </font>
    <font>
      <b/>
      <sz val="16"/>
      <name val="Arial"/>
      <family val="2"/>
    </font>
    <font>
      <sz val="10"/>
      <color indexed="26"/>
      <name val="Arial"/>
      <family val="2"/>
    </font>
    <font>
      <sz val="10"/>
      <color indexed="8"/>
      <name val="Arial"/>
      <family val="2"/>
    </font>
    <font>
      <b/>
      <sz val="10"/>
      <color indexed="9"/>
      <name val="Arial"/>
      <family val="2"/>
    </font>
    <font>
      <b/>
      <sz val="10"/>
      <color indexed="9"/>
      <name val="Arial"/>
      <family val="2"/>
    </font>
    <font>
      <b/>
      <sz val="12"/>
      <name val="Arial"/>
      <family val="2"/>
    </font>
    <font>
      <b/>
      <i/>
      <sz val="12"/>
      <name val="Arial"/>
      <family val="2"/>
    </font>
    <font>
      <sz val="10"/>
      <color theme="0"/>
      <name val="Arial"/>
      <family val="2"/>
    </font>
  </fonts>
  <fills count="7">
    <fill>
      <patternFill patternType="none"/>
    </fill>
    <fill>
      <patternFill patternType="gray125"/>
    </fill>
    <fill>
      <patternFill patternType="solid">
        <fgColor indexed="9"/>
        <bgColor indexed="64"/>
      </patternFill>
    </fill>
    <fill>
      <patternFill patternType="solid">
        <fgColor indexed="56"/>
        <bgColor indexed="64"/>
      </patternFill>
    </fill>
    <fill>
      <patternFill patternType="solid">
        <fgColor indexed="15"/>
        <bgColor indexed="64"/>
      </patternFill>
    </fill>
    <fill>
      <patternFill patternType="solid">
        <fgColor rgb="FFFFFF00"/>
        <bgColor indexed="64"/>
      </patternFill>
    </fill>
    <fill>
      <patternFill patternType="solid">
        <fgColor rgb="FFFF0000"/>
        <bgColor indexed="64"/>
      </patternFill>
    </fill>
  </fills>
  <borders count="9">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43" fontId="1" fillId="0" borderId="0" applyFont="0" applyFill="0" applyBorder="0" applyAlignment="0" applyProtection="0"/>
    <xf numFmtId="44" fontId="1" fillId="0" borderId="0" applyFont="0" applyFill="0" applyBorder="0" applyAlignment="0" applyProtection="0"/>
    <xf numFmtId="164" fontId="1" fillId="0" borderId="0" applyFont="0" applyFill="0" applyBorder="0" applyAlignment="0" applyProtection="0"/>
    <xf numFmtId="0" fontId="3" fillId="0" borderId="0"/>
    <xf numFmtId="9" fontId="1" fillId="0" borderId="0" applyFont="0" applyFill="0" applyBorder="0" applyAlignment="0" applyProtection="0"/>
  </cellStyleXfs>
  <cellXfs count="62">
    <xf numFmtId="0" fontId="0" fillId="0" borderId="0" xfId="0"/>
    <xf numFmtId="165" fontId="0" fillId="0" borderId="0" xfId="0" applyNumberFormat="1"/>
    <xf numFmtId="166" fontId="0" fillId="0" borderId="0" xfId="0" applyNumberFormat="1"/>
    <xf numFmtId="3" fontId="0" fillId="0" borderId="0" xfId="0" applyNumberFormat="1"/>
    <xf numFmtId="0" fontId="0" fillId="0" borderId="0" xfId="0" applyAlignment="1">
      <alignment horizontal="center"/>
    </xf>
    <xf numFmtId="0" fontId="2" fillId="0" borderId="0" xfId="0" applyFont="1" applyAlignment="1">
      <alignment horizontal="center"/>
    </xf>
    <xf numFmtId="0" fontId="2" fillId="0" borderId="0" xfId="0" applyFont="1"/>
    <xf numFmtId="0" fontId="4" fillId="0" borderId="0" xfId="0" applyFont="1" applyAlignment="1">
      <alignment horizontal="center"/>
    </xf>
    <xf numFmtId="0" fontId="4" fillId="0" borderId="0" xfId="0" applyFont="1"/>
    <xf numFmtId="170" fontId="4" fillId="0" borderId="0" xfId="3" applyNumberFormat="1" applyFont="1"/>
    <xf numFmtId="9" fontId="0" fillId="0" borderId="0" xfId="5" applyFont="1"/>
    <xf numFmtId="170" fontId="2" fillId="2" borderId="0" xfId="3" applyNumberFormat="1" applyFont="1" applyFill="1"/>
    <xf numFmtId="0" fontId="2" fillId="0" borderId="0" xfId="0" applyFont="1" applyAlignment="1">
      <alignment horizontal="left"/>
    </xf>
    <xf numFmtId="0" fontId="6" fillId="0" borderId="0" xfId="0" applyFont="1" applyAlignment="1">
      <alignment horizontal="left"/>
    </xf>
    <xf numFmtId="0" fontId="7" fillId="0" borderId="0" xfId="0" applyFont="1"/>
    <xf numFmtId="0" fontId="8" fillId="0" borderId="0" xfId="0" applyNumberFormat="1" applyFont="1" applyFill="1" applyBorder="1" applyAlignment="1">
      <alignment horizontal="center"/>
    </xf>
    <xf numFmtId="0" fontId="8" fillId="0" borderId="0" xfId="0" applyNumberFormat="1" applyFont="1" applyFill="1" applyBorder="1"/>
    <xf numFmtId="170" fontId="8" fillId="0" borderId="0" xfId="3" applyNumberFormat="1" applyFont="1" applyFill="1" applyBorder="1"/>
    <xf numFmtId="0" fontId="9" fillId="3" borderId="0" xfId="0" applyFont="1" applyFill="1" applyBorder="1" applyAlignment="1">
      <alignment horizontal="center" wrapText="1"/>
    </xf>
    <xf numFmtId="0" fontId="9" fillId="3" borderId="0" xfId="0" applyFont="1" applyFill="1" applyBorder="1" applyAlignment="1">
      <alignment horizontal="center"/>
    </xf>
    <xf numFmtId="0" fontId="10" fillId="3" borderId="0" xfId="0" applyFont="1" applyFill="1" applyBorder="1" applyAlignment="1">
      <alignment horizontal="center"/>
    </xf>
    <xf numFmtId="168" fontId="0" fillId="0" borderId="0" xfId="0" applyNumberFormat="1"/>
    <xf numFmtId="0" fontId="5" fillId="3" borderId="0" xfId="0" applyFont="1" applyFill="1" applyBorder="1" applyAlignment="1">
      <alignment horizontal="center" wrapText="1"/>
    </xf>
    <xf numFmtId="170" fontId="2" fillId="2" borderId="0" xfId="3" quotePrefix="1" applyNumberFormat="1" applyFont="1" applyFill="1"/>
    <xf numFmtId="0" fontId="11" fillId="0" borderId="0" xfId="0" applyFont="1" applyAlignment="1">
      <alignment horizontal="center"/>
    </xf>
    <xf numFmtId="171" fontId="11" fillId="0" borderId="0" xfId="3" applyNumberFormat="1" applyFont="1"/>
    <xf numFmtId="170" fontId="8" fillId="0" borderId="0" xfId="3" applyNumberFormat="1" applyFont="1" applyFill="1" applyBorder="1" applyAlignment="1">
      <alignment horizontal="center"/>
    </xf>
    <xf numFmtId="0" fontId="12" fillId="0" borderId="0" xfId="0" applyFont="1"/>
    <xf numFmtId="171" fontId="12" fillId="0" borderId="0" xfId="3" applyNumberFormat="1" applyFont="1"/>
    <xf numFmtId="171" fontId="12" fillId="0" borderId="0" xfId="3" applyNumberFormat="1" applyFont="1" applyAlignment="1">
      <alignment horizontal="center"/>
    </xf>
    <xf numFmtId="171" fontId="11" fillId="0" borderId="0" xfId="0" applyNumberFormat="1" applyFont="1" applyAlignment="1">
      <alignment horizontal="center" wrapText="1"/>
    </xf>
    <xf numFmtId="0" fontId="1" fillId="0" borderId="0" xfId="0" applyFont="1"/>
    <xf numFmtId="0" fontId="0" fillId="0" borderId="1" xfId="0" applyBorder="1"/>
    <xf numFmtId="0" fontId="0" fillId="0" borderId="2" xfId="0" applyBorder="1"/>
    <xf numFmtId="171" fontId="0" fillId="0" borderId="2" xfId="0" applyNumberFormat="1" applyBorder="1"/>
    <xf numFmtId="0" fontId="0" fillId="0" borderId="3" xfId="0" applyBorder="1"/>
    <xf numFmtId="0" fontId="0" fillId="0" borderId="4" xfId="0" applyBorder="1"/>
    <xf numFmtId="172" fontId="0" fillId="0" borderId="0" xfId="1" applyNumberFormat="1" applyFont="1" applyBorder="1"/>
    <xf numFmtId="172" fontId="0" fillId="0" borderId="5" xfId="1" applyNumberFormat="1" applyFont="1" applyBorder="1"/>
    <xf numFmtId="0" fontId="0" fillId="0" borderId="6" xfId="0" applyBorder="1"/>
    <xf numFmtId="172" fontId="0" fillId="0" borderId="7" xfId="1" applyNumberFormat="1" applyFont="1" applyBorder="1"/>
    <xf numFmtId="172" fontId="0" fillId="0" borderId="8" xfId="1" applyNumberFormat="1" applyFont="1" applyBorder="1"/>
    <xf numFmtId="171" fontId="11" fillId="4" borderId="0" xfId="3" applyNumberFormat="1" applyFont="1" applyFill="1"/>
    <xf numFmtId="0" fontId="5" fillId="3" borderId="0" xfId="0" applyFont="1" applyFill="1" applyBorder="1" applyAlignment="1">
      <alignment horizontal="center"/>
    </xf>
    <xf numFmtId="173" fontId="0" fillId="0" borderId="0" xfId="0" applyNumberFormat="1"/>
    <xf numFmtId="169" fontId="0" fillId="0" borderId="0" xfId="0" applyNumberFormat="1"/>
    <xf numFmtId="174" fontId="0" fillId="0" borderId="0" xfId="0" applyNumberFormat="1"/>
    <xf numFmtId="14" fontId="8" fillId="0" borderId="0" xfId="0" applyNumberFormat="1" applyFont="1" applyFill="1" applyBorder="1"/>
    <xf numFmtId="0" fontId="8" fillId="0" borderId="0" xfId="0" applyFont="1" applyFill="1" applyBorder="1" applyAlignment="1">
      <alignment horizontal="center"/>
    </xf>
    <xf numFmtId="0" fontId="0" fillId="0" borderId="0" xfId="0" applyFill="1"/>
    <xf numFmtId="167" fontId="0" fillId="0" borderId="0" xfId="0" applyNumberFormat="1"/>
    <xf numFmtId="0" fontId="0" fillId="0" borderId="0" xfId="0" quotePrefix="1"/>
    <xf numFmtId="0" fontId="8" fillId="5" borderId="0" xfId="0" applyFont="1" applyFill="1" applyBorder="1" applyAlignment="1">
      <alignment horizontal="center"/>
    </xf>
    <xf numFmtId="0" fontId="13" fillId="6" borderId="0" xfId="0" applyFont="1" applyFill="1"/>
    <xf numFmtId="1" fontId="8" fillId="0" borderId="0" xfId="3" applyNumberFormat="1" applyFont="1" applyFill="1" applyBorder="1" applyAlignment="1">
      <alignment horizontal="center"/>
    </xf>
    <xf numFmtId="171" fontId="11" fillId="0" borderId="0" xfId="3" applyNumberFormat="1" applyFont="1" applyFill="1"/>
    <xf numFmtId="171" fontId="12" fillId="0" borderId="0" xfId="3" applyNumberFormat="1" applyFont="1" applyFill="1"/>
    <xf numFmtId="1" fontId="11" fillId="0" borderId="0" xfId="0" applyNumberFormat="1" applyFont="1"/>
    <xf numFmtId="1" fontId="11" fillId="0" borderId="0" xfId="0" applyNumberFormat="1" applyFont="1" applyAlignment="1">
      <alignment horizontal="center"/>
    </xf>
    <xf numFmtId="1" fontId="11" fillId="0" borderId="0" xfId="3" applyNumberFormat="1" applyFont="1" applyAlignment="1">
      <alignment horizontal="center"/>
    </xf>
    <xf numFmtId="171" fontId="0" fillId="0" borderId="0" xfId="0" applyNumberFormat="1"/>
    <xf numFmtId="0" fontId="9" fillId="3" borderId="0" xfId="0" applyFont="1" applyFill="1" applyBorder="1" applyAlignment="1">
      <alignment horizontal="center" vertical="top"/>
    </xf>
  </cellXfs>
  <cellStyles count="6">
    <cellStyle name="Comma" xfId="1" builtinId="3"/>
    <cellStyle name="Comma 2" xfId="2"/>
    <cellStyle name="Currency" xfId="3" builtinId="4"/>
    <cellStyle name="Normal" xfId="0" builtinId="0"/>
    <cellStyle name="Normal 2" xfId="4"/>
    <cellStyle name="Percent" xfId="5" builtinId="5"/>
  </cellStyles>
  <dxfs count="6">
    <dxf>
      <font>
        <condense val="0"/>
        <extend val="0"/>
        <color rgb="FF006100"/>
      </font>
      <fill>
        <patternFill>
          <bgColor rgb="FFC6EFCE"/>
        </patternFill>
      </fill>
    </dxf>
    <dxf>
      <font>
        <color theme="5" tint="-0.24994659260841701"/>
      </font>
      <fill>
        <patternFill>
          <bgColor theme="5" tint="0.59996337778862885"/>
        </patternFill>
      </fill>
    </dxf>
    <dxf>
      <font>
        <strike/>
        <name val="Cambria"/>
        <scheme val="none"/>
      </font>
      <fill>
        <patternFill patternType="none">
          <bgColor indexed="65"/>
        </patternFill>
      </fill>
    </dxf>
    <dxf>
      <font>
        <condense val="0"/>
        <extend val="0"/>
        <color rgb="FF006100"/>
      </font>
      <fill>
        <patternFill>
          <bgColor rgb="FFC6EFCE"/>
        </patternFill>
      </fill>
    </dxf>
    <dxf>
      <font>
        <color theme="5" tint="-0.24994659260841701"/>
      </font>
      <fill>
        <patternFill>
          <bgColor theme="5" tint="0.59996337778862885"/>
        </patternFill>
      </fill>
    </dxf>
    <dxf>
      <font>
        <strike/>
        <name val="Cambria"/>
        <scheme val="none"/>
      </font>
      <fill>
        <patternFill patternType="none">
          <bgColor indexed="65"/>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lang val="en-US"/>
  <c:roundedCorners val="1"/>
  <c:chart>
    <c:title>
      <c:tx>
        <c:rich>
          <a:bodyPr/>
          <a:lstStyle/>
          <a:p>
            <a:pPr>
              <a:defRPr sz="1800" b="1" i="0" u="none" strike="noStrike" baseline="0">
                <a:solidFill>
                  <a:srgbClr val="000000"/>
                </a:solidFill>
                <a:latin typeface="Calibri"/>
                <a:ea typeface="Calibri"/>
                <a:cs typeface="Calibri"/>
              </a:defRPr>
            </a:pPr>
            <a:r>
              <a:rPr lang="en-US"/>
              <a:t>Expenses vs Budget</a:t>
            </a:r>
          </a:p>
        </c:rich>
      </c:tx>
      <c:layout/>
    </c:title>
    <c:plotArea>
      <c:layout/>
      <c:barChart>
        <c:barDir val="col"/>
        <c:grouping val="stacked"/>
        <c:ser>
          <c:idx val="0"/>
          <c:order val="0"/>
          <c:tx>
            <c:strRef>
              <c:f>Model!$X$4</c:f>
              <c:strCache>
                <c:ptCount val="1"/>
                <c:pt idx="0">
                  <c:v>Total Expenses</c:v>
                </c:pt>
              </c:strCache>
            </c:strRef>
          </c:tx>
          <c:spPr>
            <a:solidFill>
              <a:schemeClr val="accent3">
                <a:lumMod val="75000"/>
              </a:schemeClr>
            </a:solidFill>
          </c:spPr>
          <c:cat>
            <c:strRef>
              <c:f>Model!$Y$3:$AB$3</c:f>
              <c:strCache>
                <c:ptCount val="3"/>
                <c:pt idx="1">
                  <c:v> All Projects </c:v>
                </c:pt>
                <c:pt idx="2">
                  <c:v> Suggested Projects </c:v>
                </c:pt>
              </c:strCache>
            </c:strRef>
          </c:cat>
          <c:val>
            <c:numRef>
              <c:f>Model!$Y$4:$AB$4</c:f>
              <c:numCache>
                <c:formatCode>_-* #,##0\ _€_-;\-* #,##0\ _€_-;_-* "-"??\ _€_-;_-@_-</c:formatCode>
                <c:ptCount val="4"/>
                <c:pt idx="0">
                  <c:v>0</c:v>
                </c:pt>
                <c:pt idx="1">
                  <c:v>5000000</c:v>
                </c:pt>
                <c:pt idx="2">
                  <c:v>4980871</c:v>
                </c:pt>
                <c:pt idx="3">
                  <c:v>0</c:v>
                </c:pt>
              </c:numCache>
            </c:numRef>
          </c:val>
        </c:ser>
        <c:ser>
          <c:idx val="1"/>
          <c:order val="1"/>
          <c:tx>
            <c:strRef>
              <c:f>Model!$X$5</c:f>
              <c:strCache>
                <c:ptCount val="1"/>
                <c:pt idx="0">
                  <c:v>Total Expenses</c:v>
                </c:pt>
              </c:strCache>
            </c:strRef>
          </c:tx>
          <c:spPr>
            <a:solidFill>
              <a:schemeClr val="accent2"/>
            </a:solidFill>
          </c:spPr>
          <c:cat>
            <c:strRef>
              <c:f>Model!$Y$3:$AB$3</c:f>
              <c:strCache>
                <c:ptCount val="3"/>
                <c:pt idx="1">
                  <c:v> All Projects </c:v>
                </c:pt>
                <c:pt idx="2">
                  <c:v> Suggested Projects </c:v>
                </c:pt>
              </c:strCache>
            </c:strRef>
          </c:cat>
          <c:val>
            <c:numRef>
              <c:f>Model!$Y$5:$AB$5</c:f>
              <c:numCache>
                <c:formatCode>_-* #,##0\ _€_-;\-* #,##0\ _€_-;_-* "-"??\ _€_-;_-@_-</c:formatCode>
                <c:ptCount val="4"/>
                <c:pt idx="0">
                  <c:v>0</c:v>
                </c:pt>
                <c:pt idx="1">
                  <c:v>3517539</c:v>
                </c:pt>
                <c:pt idx="2">
                  <c:v>0</c:v>
                </c:pt>
                <c:pt idx="3">
                  <c:v>0</c:v>
                </c:pt>
              </c:numCache>
            </c:numRef>
          </c:val>
        </c:ser>
        <c:gapWidth val="36"/>
        <c:overlap val="100"/>
        <c:axId val="99977856"/>
        <c:axId val="99991936"/>
      </c:barChart>
      <c:lineChart>
        <c:grouping val="standard"/>
        <c:varyColors val="1"/>
        <c:ser>
          <c:idx val="2"/>
          <c:order val="2"/>
          <c:tx>
            <c:strRef>
              <c:f>Model!$X$6</c:f>
              <c:strCache>
                <c:ptCount val="1"/>
                <c:pt idx="0">
                  <c:v>Available Budget</c:v>
                </c:pt>
              </c:strCache>
            </c:strRef>
          </c:tx>
          <c:spPr>
            <a:ln>
              <a:solidFill>
                <a:schemeClr val="tx2"/>
              </a:solidFill>
              <a:prstDash val="sysDash"/>
            </a:ln>
          </c:spPr>
          <c:marker>
            <c:symbol val="none"/>
          </c:marker>
          <c:dLbls>
            <c:dLbl>
              <c:idx val="0"/>
              <c:delete val="1"/>
            </c:dLbl>
            <c:dLbl>
              <c:idx val="1"/>
              <c:delete val="1"/>
            </c:dLbl>
            <c:dLbl>
              <c:idx val="2"/>
              <c:delete val="1"/>
            </c:dLbl>
            <c:showSerName val="1"/>
          </c:dLbls>
          <c:cat>
            <c:strRef>
              <c:f>Model!$Y$3:$AB$3</c:f>
              <c:strCache>
                <c:ptCount val="3"/>
                <c:pt idx="1">
                  <c:v> All Projects </c:v>
                </c:pt>
                <c:pt idx="2">
                  <c:v> Suggested Projects </c:v>
                </c:pt>
              </c:strCache>
            </c:strRef>
          </c:cat>
          <c:val>
            <c:numRef>
              <c:f>Model!$Y$6:$AB$6</c:f>
              <c:numCache>
                <c:formatCode>_-* #,##0\ _€_-;\-* #,##0\ _€_-;_-* "-"??\ _€_-;_-@_-</c:formatCode>
                <c:ptCount val="4"/>
                <c:pt idx="0">
                  <c:v>5000000</c:v>
                </c:pt>
                <c:pt idx="1">
                  <c:v>5000000</c:v>
                </c:pt>
                <c:pt idx="2">
                  <c:v>5000000</c:v>
                </c:pt>
                <c:pt idx="3">
                  <c:v>5000000</c:v>
                </c:pt>
              </c:numCache>
            </c:numRef>
          </c:val>
        </c:ser>
        <c:marker val="1"/>
        <c:axId val="99977856"/>
        <c:axId val="99991936"/>
      </c:lineChart>
      <c:catAx>
        <c:axId val="99977856"/>
        <c:scaling>
          <c:orientation val="minMax"/>
        </c:scaling>
        <c:axPos val="b"/>
        <c:numFmt formatCode="General" sourceLinked="1"/>
        <c:maj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99991936"/>
        <c:crosses val="autoZero"/>
        <c:auto val="1"/>
        <c:lblAlgn val="ctr"/>
        <c:lblOffset val="100"/>
      </c:catAx>
      <c:valAx>
        <c:axId val="99991936"/>
        <c:scaling>
          <c:orientation val="minMax"/>
        </c:scaling>
        <c:axPos val="l"/>
        <c:numFmt formatCode="_-* #,##0\ _€_-;\-* #,##0\ _€_-;_-* &quot;-&quot;??\ _€_-;_-@_-" sourceLinked="1"/>
        <c:majorTickMark val="none"/>
        <c:tickLblPos val="nextTo"/>
        <c:txPr>
          <a:bodyPr rot="0" vert="horz"/>
          <a:lstStyle/>
          <a:p>
            <a:pPr>
              <a:defRPr sz="1000" b="0" i="0" u="none" strike="noStrike" baseline="0">
                <a:solidFill>
                  <a:srgbClr val="000000"/>
                </a:solidFill>
                <a:latin typeface="Calibri"/>
                <a:ea typeface="Calibri"/>
                <a:cs typeface="Calibri"/>
              </a:defRPr>
            </a:pPr>
            <a:endParaRPr lang="en-US"/>
          </a:p>
        </c:txPr>
        <c:crossAx val="99977856"/>
        <c:crosses val="autoZero"/>
        <c:crossBetween val="between"/>
      </c:valAx>
      <c:spPr>
        <a:noFill/>
        <a:ln w="25400">
          <a:noFill/>
        </a:ln>
      </c:spPr>
    </c:plotArea>
    <c:plotVisOnly val="1"/>
    <c:dispBlanksAs val="span"/>
  </c:chart>
  <c:spPr>
    <a:solidFill>
      <a:schemeClr val="tx2">
        <a:lumMod val="20000"/>
        <a:lumOff val="80000"/>
      </a:schemeClr>
    </a:solidFill>
    <a:ln w="28575">
      <a:solidFill>
        <a:schemeClr val="tx2"/>
      </a:solidFill>
    </a:ln>
    <a:effectLst>
      <a:outerShdw blurRad="50800" dist="38100" dir="2700000" sx="102000" sy="102000" algn="tl" rotWithShape="0">
        <a:prstClr val="black">
          <a:alpha val="40000"/>
        </a:prstClr>
      </a:outerShdw>
    </a:effectLst>
  </c:spPr>
  <c:txPr>
    <a:bodyPr/>
    <a:lstStyle/>
    <a:p>
      <a:pPr>
        <a:defRPr sz="1000" b="0" i="0" u="none" strike="noStrike" baseline="0">
          <a:solidFill>
            <a:srgbClr val="000000"/>
          </a:solidFill>
          <a:latin typeface="Calibri"/>
          <a:ea typeface="Calibri"/>
          <a:cs typeface="Calibri"/>
        </a:defRPr>
      </a:pPr>
      <a:endParaRPr lang="en-US"/>
    </a:p>
  </c:txPr>
  <c:printSettings>
    <c:headerFooter/>
    <c:pageMargins b="0.75000000000000044" l="0.7000000000000004" r="0.7000000000000004" t="0.75000000000000044" header="0.30000000000000021" footer="0.30000000000000021"/>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roundedCorners val="1"/>
  <c:chart>
    <c:title>
      <c:tx>
        <c:rich>
          <a:bodyPr/>
          <a:lstStyle/>
          <a:p>
            <a:pPr>
              <a:defRPr/>
            </a:pPr>
            <a:r>
              <a:rPr lang="en-US"/>
              <a:t>Compare Portfolios</a:t>
            </a:r>
          </a:p>
        </c:rich>
      </c:tx>
      <c:layout/>
    </c:title>
    <c:plotArea>
      <c:layout/>
      <c:barChart>
        <c:barDir val="col"/>
        <c:grouping val="clustered"/>
        <c:ser>
          <c:idx val="0"/>
          <c:order val="0"/>
          <c:tx>
            <c:strRef>
              <c:f>Model!$X$9</c:f>
              <c:strCache>
                <c:ptCount val="1"/>
                <c:pt idx="0">
                  <c:v> Benefits </c:v>
                </c:pt>
              </c:strCache>
            </c:strRef>
          </c:tx>
          <c:cat>
            <c:strRef>
              <c:f>Model!$Y$8:$Z$8</c:f>
              <c:strCache>
                <c:ptCount val="2"/>
                <c:pt idx="0">
                  <c:v> All Projects </c:v>
                </c:pt>
                <c:pt idx="1">
                  <c:v> Suggested Projects </c:v>
                </c:pt>
              </c:strCache>
            </c:strRef>
          </c:cat>
          <c:val>
            <c:numRef>
              <c:f>Model!$Y$9:$Z$9</c:f>
              <c:numCache>
                <c:formatCode>_([$$-409]* #,##0_);_([$$-409]* \(#,##0\);_([$$-409]* "-"??_);_(@_)</c:formatCode>
                <c:ptCount val="2"/>
                <c:pt idx="0">
                  <c:v>10699000</c:v>
                </c:pt>
                <c:pt idx="1">
                  <c:v>7893000</c:v>
                </c:pt>
              </c:numCache>
            </c:numRef>
          </c:val>
        </c:ser>
        <c:ser>
          <c:idx val="1"/>
          <c:order val="1"/>
          <c:tx>
            <c:strRef>
              <c:f>Model!$X$10</c:f>
              <c:strCache>
                <c:ptCount val="1"/>
                <c:pt idx="0">
                  <c:v> Expenses </c:v>
                </c:pt>
              </c:strCache>
            </c:strRef>
          </c:tx>
          <c:cat>
            <c:strRef>
              <c:f>Model!$Y$8:$Z$8</c:f>
              <c:strCache>
                <c:ptCount val="2"/>
                <c:pt idx="0">
                  <c:v> All Projects </c:v>
                </c:pt>
                <c:pt idx="1">
                  <c:v> Suggested Projects </c:v>
                </c:pt>
              </c:strCache>
            </c:strRef>
          </c:cat>
          <c:val>
            <c:numRef>
              <c:f>Model!$Y$10:$Z$10</c:f>
              <c:numCache>
                <c:formatCode>_([$$-409]* #,##0_);_([$$-409]* \(#,##0\);_([$$-409]* "-"??_);_(@_)</c:formatCode>
                <c:ptCount val="2"/>
                <c:pt idx="0">
                  <c:v>8517539</c:v>
                </c:pt>
                <c:pt idx="1">
                  <c:v>4980871</c:v>
                </c:pt>
              </c:numCache>
            </c:numRef>
          </c:val>
        </c:ser>
        <c:axId val="100045952"/>
        <c:axId val="100047488"/>
      </c:barChart>
      <c:barChart>
        <c:barDir val="col"/>
        <c:grouping val="clustered"/>
        <c:ser>
          <c:idx val="2"/>
          <c:order val="2"/>
          <c:tx>
            <c:strRef>
              <c:f>Model!$X$11</c:f>
              <c:strCache>
                <c:ptCount val="1"/>
                <c:pt idx="0">
                  <c:v>Resources</c:v>
                </c:pt>
              </c:strCache>
            </c:strRef>
          </c:tx>
          <c:cat>
            <c:strRef>
              <c:f>Model!$Y$8:$Z$8</c:f>
              <c:strCache>
                <c:ptCount val="2"/>
                <c:pt idx="0">
                  <c:v> All Projects </c:v>
                </c:pt>
                <c:pt idx="1">
                  <c:v> Suggested Projects </c:v>
                </c:pt>
              </c:strCache>
            </c:strRef>
          </c:cat>
          <c:val>
            <c:numRef>
              <c:f>Model!$Y$11:$Z$11</c:f>
              <c:numCache>
                <c:formatCode>General</c:formatCode>
                <c:ptCount val="2"/>
                <c:pt idx="0">
                  <c:v>5457</c:v>
                </c:pt>
                <c:pt idx="1">
                  <c:v>2988</c:v>
                </c:pt>
              </c:numCache>
            </c:numRef>
          </c:val>
        </c:ser>
        <c:gapWidth val="400"/>
        <c:axId val="100068352"/>
        <c:axId val="100066432"/>
      </c:barChart>
      <c:catAx>
        <c:axId val="100045952"/>
        <c:scaling>
          <c:orientation val="minMax"/>
        </c:scaling>
        <c:axPos val="b"/>
        <c:tickLblPos val="nextTo"/>
        <c:crossAx val="100047488"/>
        <c:crosses val="autoZero"/>
        <c:auto val="1"/>
        <c:lblAlgn val="ctr"/>
        <c:lblOffset val="100"/>
      </c:catAx>
      <c:valAx>
        <c:axId val="100047488"/>
        <c:scaling>
          <c:orientation val="minMax"/>
        </c:scaling>
        <c:axPos val="l"/>
        <c:majorGridlines/>
        <c:title>
          <c:tx>
            <c:rich>
              <a:bodyPr rot="-5400000" vert="horz"/>
              <a:lstStyle/>
              <a:p>
                <a:pPr>
                  <a:defRPr/>
                </a:pPr>
                <a:r>
                  <a:rPr lang="en-US"/>
                  <a:t>Benefit / Expenses</a:t>
                </a:r>
              </a:p>
            </c:rich>
          </c:tx>
          <c:layout/>
        </c:title>
        <c:numFmt formatCode="_([$$-409]* #,##0_);_([$$-409]* \(#,##0\);_([$$-409]* &quot;-&quot;??_);_(@_)" sourceLinked="1"/>
        <c:tickLblPos val="nextTo"/>
        <c:crossAx val="100045952"/>
        <c:crosses val="autoZero"/>
        <c:crossBetween val="between"/>
        <c:majorUnit val="5000000"/>
        <c:dispUnits>
          <c:builtInUnit val="millions"/>
          <c:dispUnitsLbl>
            <c:layout/>
          </c:dispUnitsLbl>
        </c:dispUnits>
      </c:valAx>
      <c:valAx>
        <c:axId val="100066432"/>
        <c:scaling>
          <c:orientation val="minMax"/>
        </c:scaling>
        <c:axPos val="r"/>
        <c:title>
          <c:tx>
            <c:rich>
              <a:bodyPr rot="-5400000" vert="horz"/>
              <a:lstStyle/>
              <a:p>
                <a:pPr>
                  <a:defRPr/>
                </a:pPr>
                <a:r>
                  <a:rPr lang="en-US"/>
                  <a:t>Resources</a:t>
                </a:r>
              </a:p>
            </c:rich>
          </c:tx>
          <c:layout/>
        </c:title>
        <c:numFmt formatCode="General" sourceLinked="1"/>
        <c:tickLblPos val="nextTo"/>
        <c:crossAx val="100068352"/>
        <c:crosses val="max"/>
        <c:crossBetween val="between"/>
        <c:majorUnit val="3000"/>
      </c:valAx>
      <c:catAx>
        <c:axId val="100068352"/>
        <c:scaling>
          <c:orientation val="minMax"/>
        </c:scaling>
        <c:delete val="1"/>
        <c:axPos val="b"/>
        <c:tickLblPos val="none"/>
        <c:crossAx val="100066432"/>
        <c:crosses val="autoZero"/>
        <c:auto val="1"/>
        <c:lblAlgn val="ctr"/>
        <c:lblOffset val="100"/>
      </c:catAx>
    </c:plotArea>
    <c:legend>
      <c:legendPos val="b"/>
      <c:layout/>
    </c:legend>
    <c:plotVisOnly val="1"/>
    <c:dispBlanksAs val="gap"/>
  </c:chart>
  <c:spPr>
    <a:solidFill>
      <a:schemeClr val="tx2">
        <a:lumMod val="20000"/>
        <a:lumOff val="80000"/>
      </a:schemeClr>
    </a:solidFill>
    <a:ln w="19050">
      <a:solidFill>
        <a:schemeClr val="tx2"/>
      </a:solidFill>
    </a:ln>
    <a:effectLst>
      <a:outerShdw blurRad="50800" dist="38100" dir="2700000" sx="102000" sy="102000" algn="tl" rotWithShape="0">
        <a:prstClr val="black">
          <a:alpha val="40000"/>
        </a:prstClr>
      </a:outerShdw>
    </a:effectLst>
  </c:spPr>
  <c:printSettings>
    <c:headerFooter/>
    <c:pageMargins b="0.75000000000000022" l="0.70000000000000018" r="0.70000000000000018" t="0.75000000000000022" header="0.3000000000000001" footer="0.3000000000000001"/>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11</xdr:col>
      <xdr:colOff>28575</xdr:colOff>
      <xdr:row>15</xdr:row>
      <xdr:rowOff>133350</xdr:rowOff>
    </xdr:from>
    <xdr:to>
      <xdr:col>18</xdr:col>
      <xdr:colOff>390525</xdr:colOff>
      <xdr:row>32</xdr:row>
      <xdr:rowOff>85725</xdr:rowOff>
    </xdr:to>
    <xdr:graphicFrame macro="">
      <xdr:nvGraphicFramePr>
        <xdr:cNvPr id="514414"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oneCellAnchor>
    <xdr:from>
      <xdr:col>4</xdr:col>
      <xdr:colOff>302559</xdr:colOff>
      <xdr:row>35</xdr:row>
      <xdr:rowOff>123264</xdr:rowOff>
    </xdr:from>
    <xdr:ext cx="184731" cy="264560"/>
    <xdr:sp macro="" textlink="">
      <xdr:nvSpPr>
        <xdr:cNvPr id="5" name="TextBox 4"/>
        <xdr:cNvSpPr txBox="1"/>
      </xdr:nvSpPr>
      <xdr:spPr>
        <a:xfrm>
          <a:off x="2969559" y="528917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36</xdr:row>
      <xdr:rowOff>123264</xdr:rowOff>
    </xdr:from>
    <xdr:ext cx="184731" cy="264560"/>
    <xdr:sp macro="" textlink="">
      <xdr:nvSpPr>
        <xdr:cNvPr id="10" name="TextBox 9"/>
        <xdr:cNvSpPr txBox="1"/>
      </xdr:nvSpPr>
      <xdr:spPr>
        <a:xfrm>
          <a:off x="2823883" y="571499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37</xdr:row>
      <xdr:rowOff>123264</xdr:rowOff>
    </xdr:from>
    <xdr:ext cx="184731" cy="264560"/>
    <xdr:sp macro="" textlink="">
      <xdr:nvSpPr>
        <xdr:cNvPr id="11" name="TextBox 10"/>
        <xdr:cNvSpPr txBox="1"/>
      </xdr:nvSpPr>
      <xdr:spPr>
        <a:xfrm>
          <a:off x="2823883" y="587188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38</xdr:row>
      <xdr:rowOff>123264</xdr:rowOff>
    </xdr:from>
    <xdr:ext cx="184731" cy="264560"/>
    <xdr:sp macro="" textlink="">
      <xdr:nvSpPr>
        <xdr:cNvPr id="12" name="TextBox 11"/>
        <xdr:cNvSpPr txBox="1"/>
      </xdr:nvSpPr>
      <xdr:spPr>
        <a:xfrm>
          <a:off x="2823883" y="60287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39</xdr:row>
      <xdr:rowOff>123264</xdr:rowOff>
    </xdr:from>
    <xdr:ext cx="184731" cy="264560"/>
    <xdr:sp macro="" textlink="">
      <xdr:nvSpPr>
        <xdr:cNvPr id="13" name="TextBox 12"/>
        <xdr:cNvSpPr txBox="1"/>
      </xdr:nvSpPr>
      <xdr:spPr>
        <a:xfrm>
          <a:off x="2823883" y="618564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40</xdr:row>
      <xdr:rowOff>123264</xdr:rowOff>
    </xdr:from>
    <xdr:ext cx="184731" cy="264560"/>
    <xdr:sp macro="" textlink="">
      <xdr:nvSpPr>
        <xdr:cNvPr id="14" name="TextBox 13"/>
        <xdr:cNvSpPr txBox="1"/>
      </xdr:nvSpPr>
      <xdr:spPr>
        <a:xfrm>
          <a:off x="2823883" y="63425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41</xdr:row>
      <xdr:rowOff>123264</xdr:rowOff>
    </xdr:from>
    <xdr:ext cx="184731" cy="264560"/>
    <xdr:sp macro="" textlink="">
      <xdr:nvSpPr>
        <xdr:cNvPr id="15" name="TextBox 14"/>
        <xdr:cNvSpPr txBox="1"/>
      </xdr:nvSpPr>
      <xdr:spPr>
        <a:xfrm>
          <a:off x="2823883" y="649941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42</xdr:row>
      <xdr:rowOff>123264</xdr:rowOff>
    </xdr:from>
    <xdr:ext cx="184731" cy="264560"/>
    <xdr:sp macro="" textlink="">
      <xdr:nvSpPr>
        <xdr:cNvPr id="16" name="TextBox 15"/>
        <xdr:cNvSpPr txBox="1"/>
      </xdr:nvSpPr>
      <xdr:spPr>
        <a:xfrm>
          <a:off x="2823883" y="665629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43</xdr:row>
      <xdr:rowOff>123264</xdr:rowOff>
    </xdr:from>
    <xdr:ext cx="184731" cy="264560"/>
    <xdr:sp macro="" textlink="">
      <xdr:nvSpPr>
        <xdr:cNvPr id="17" name="TextBox 16"/>
        <xdr:cNvSpPr txBox="1"/>
      </xdr:nvSpPr>
      <xdr:spPr>
        <a:xfrm>
          <a:off x="2823883" y="681317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44</xdr:row>
      <xdr:rowOff>123264</xdr:rowOff>
    </xdr:from>
    <xdr:ext cx="184731" cy="264560"/>
    <xdr:sp macro="" textlink="">
      <xdr:nvSpPr>
        <xdr:cNvPr id="18" name="TextBox 17"/>
        <xdr:cNvSpPr txBox="1"/>
      </xdr:nvSpPr>
      <xdr:spPr>
        <a:xfrm>
          <a:off x="2823883" y="697005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45</xdr:row>
      <xdr:rowOff>123264</xdr:rowOff>
    </xdr:from>
    <xdr:ext cx="184731" cy="264560"/>
    <xdr:sp macro="" textlink="">
      <xdr:nvSpPr>
        <xdr:cNvPr id="19" name="TextBox 18"/>
        <xdr:cNvSpPr txBox="1"/>
      </xdr:nvSpPr>
      <xdr:spPr>
        <a:xfrm>
          <a:off x="2823883" y="712694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46</xdr:row>
      <xdr:rowOff>123264</xdr:rowOff>
    </xdr:from>
    <xdr:ext cx="184731" cy="264560"/>
    <xdr:sp macro="" textlink="">
      <xdr:nvSpPr>
        <xdr:cNvPr id="20" name="TextBox 19"/>
        <xdr:cNvSpPr txBox="1"/>
      </xdr:nvSpPr>
      <xdr:spPr>
        <a:xfrm>
          <a:off x="2823883" y="728382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47</xdr:row>
      <xdr:rowOff>123264</xdr:rowOff>
    </xdr:from>
    <xdr:ext cx="184731" cy="264560"/>
    <xdr:sp macro="" textlink="">
      <xdr:nvSpPr>
        <xdr:cNvPr id="21" name="TextBox 20"/>
        <xdr:cNvSpPr txBox="1"/>
      </xdr:nvSpPr>
      <xdr:spPr>
        <a:xfrm>
          <a:off x="2823883" y="744070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48</xdr:row>
      <xdr:rowOff>123264</xdr:rowOff>
    </xdr:from>
    <xdr:ext cx="184731" cy="264560"/>
    <xdr:sp macro="" textlink="">
      <xdr:nvSpPr>
        <xdr:cNvPr id="22" name="TextBox 21"/>
        <xdr:cNvSpPr txBox="1"/>
      </xdr:nvSpPr>
      <xdr:spPr>
        <a:xfrm>
          <a:off x="2823883" y="759758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49</xdr:row>
      <xdr:rowOff>123264</xdr:rowOff>
    </xdr:from>
    <xdr:ext cx="184731" cy="264560"/>
    <xdr:sp macro="" textlink="">
      <xdr:nvSpPr>
        <xdr:cNvPr id="23" name="TextBox 22"/>
        <xdr:cNvSpPr txBox="1"/>
      </xdr:nvSpPr>
      <xdr:spPr>
        <a:xfrm>
          <a:off x="2823883" y="775447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50</xdr:row>
      <xdr:rowOff>123264</xdr:rowOff>
    </xdr:from>
    <xdr:ext cx="184731" cy="264560"/>
    <xdr:sp macro="" textlink="">
      <xdr:nvSpPr>
        <xdr:cNvPr id="24" name="TextBox 23"/>
        <xdr:cNvSpPr txBox="1"/>
      </xdr:nvSpPr>
      <xdr:spPr>
        <a:xfrm>
          <a:off x="2823883" y="791135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51</xdr:row>
      <xdr:rowOff>123264</xdr:rowOff>
    </xdr:from>
    <xdr:ext cx="184731" cy="264560"/>
    <xdr:sp macro="" textlink="">
      <xdr:nvSpPr>
        <xdr:cNvPr id="25" name="TextBox 24"/>
        <xdr:cNvSpPr txBox="1"/>
      </xdr:nvSpPr>
      <xdr:spPr>
        <a:xfrm>
          <a:off x="2823883" y="806823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52</xdr:row>
      <xdr:rowOff>123264</xdr:rowOff>
    </xdr:from>
    <xdr:ext cx="184731" cy="264560"/>
    <xdr:sp macro="" textlink="">
      <xdr:nvSpPr>
        <xdr:cNvPr id="26" name="TextBox 25"/>
        <xdr:cNvSpPr txBox="1"/>
      </xdr:nvSpPr>
      <xdr:spPr>
        <a:xfrm>
          <a:off x="2823883" y="8225117"/>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53</xdr:row>
      <xdr:rowOff>123264</xdr:rowOff>
    </xdr:from>
    <xdr:ext cx="184731" cy="264560"/>
    <xdr:sp macro="" textlink="">
      <xdr:nvSpPr>
        <xdr:cNvPr id="27" name="TextBox 26"/>
        <xdr:cNvSpPr txBox="1"/>
      </xdr:nvSpPr>
      <xdr:spPr>
        <a:xfrm>
          <a:off x="2823883" y="838199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54</xdr:row>
      <xdr:rowOff>123264</xdr:rowOff>
    </xdr:from>
    <xdr:ext cx="184731" cy="264560"/>
    <xdr:sp macro="" textlink="">
      <xdr:nvSpPr>
        <xdr:cNvPr id="28" name="TextBox 27"/>
        <xdr:cNvSpPr txBox="1"/>
      </xdr:nvSpPr>
      <xdr:spPr>
        <a:xfrm>
          <a:off x="2823883" y="8538882"/>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55</xdr:row>
      <xdr:rowOff>123264</xdr:rowOff>
    </xdr:from>
    <xdr:ext cx="184731" cy="264560"/>
    <xdr:sp macro="" textlink="">
      <xdr:nvSpPr>
        <xdr:cNvPr id="29" name="TextBox 28"/>
        <xdr:cNvSpPr txBox="1"/>
      </xdr:nvSpPr>
      <xdr:spPr>
        <a:xfrm>
          <a:off x="2823883" y="8695764"/>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56</xdr:row>
      <xdr:rowOff>123264</xdr:rowOff>
    </xdr:from>
    <xdr:ext cx="184731" cy="264560"/>
    <xdr:sp macro="" textlink="">
      <xdr:nvSpPr>
        <xdr:cNvPr id="30" name="TextBox 29"/>
        <xdr:cNvSpPr txBox="1"/>
      </xdr:nvSpPr>
      <xdr:spPr>
        <a:xfrm>
          <a:off x="2823883" y="8852646"/>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57</xdr:row>
      <xdr:rowOff>123264</xdr:rowOff>
    </xdr:from>
    <xdr:ext cx="184731" cy="264560"/>
    <xdr:sp macro="" textlink="">
      <xdr:nvSpPr>
        <xdr:cNvPr id="31" name="TextBox 30"/>
        <xdr:cNvSpPr txBox="1"/>
      </xdr:nvSpPr>
      <xdr:spPr>
        <a:xfrm>
          <a:off x="2823883" y="9009529"/>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58</xdr:row>
      <xdr:rowOff>123264</xdr:rowOff>
    </xdr:from>
    <xdr:ext cx="184731" cy="264560"/>
    <xdr:sp macro="" textlink="">
      <xdr:nvSpPr>
        <xdr:cNvPr id="32" name="TextBox 31"/>
        <xdr:cNvSpPr txBox="1"/>
      </xdr:nvSpPr>
      <xdr:spPr>
        <a:xfrm>
          <a:off x="2823883" y="9166411"/>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oneCellAnchor>
    <xdr:from>
      <xdr:col>4</xdr:col>
      <xdr:colOff>302559</xdr:colOff>
      <xdr:row>59</xdr:row>
      <xdr:rowOff>123264</xdr:rowOff>
    </xdr:from>
    <xdr:ext cx="184731" cy="264560"/>
    <xdr:sp macro="" textlink="">
      <xdr:nvSpPr>
        <xdr:cNvPr id="33" name="TextBox 32"/>
        <xdr:cNvSpPr txBox="1"/>
      </xdr:nvSpPr>
      <xdr:spPr>
        <a:xfrm>
          <a:off x="2823883" y="932329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wrap="none" rtlCol="0" anchor="t">
          <a:spAutoFit/>
        </a:bodyPr>
        <a:lstStyle/>
        <a:p>
          <a:endParaRPr lang="en-US"/>
        </a:p>
      </xdr:txBody>
    </xdr:sp>
    <xdr:clientData/>
  </xdr:oneCellAnchor>
  <xdr:twoCellAnchor>
    <xdr:from>
      <xdr:col>7</xdr:col>
      <xdr:colOff>0</xdr:colOff>
      <xdr:row>1</xdr:row>
      <xdr:rowOff>104775</xdr:rowOff>
    </xdr:from>
    <xdr:to>
      <xdr:col>9</xdr:col>
      <xdr:colOff>266700</xdr:colOff>
      <xdr:row>2</xdr:row>
      <xdr:rowOff>371475</xdr:rowOff>
    </xdr:to>
    <xdr:sp macro="[0]!RunOptimization" textlink="">
      <xdr:nvSpPr>
        <xdr:cNvPr id="514256" name="Rounded Rectangle 34" descr="c8ca2e5b-0760-44b4-8ad1-ba9cda16f59a"/>
        <xdr:cNvSpPr>
          <a:spLocks noChangeArrowheads="1"/>
        </xdr:cNvSpPr>
      </xdr:nvSpPr>
      <xdr:spPr bwMode="auto">
        <a:xfrm>
          <a:off x="5657850" y="704850"/>
          <a:ext cx="1828800" cy="476250"/>
        </a:xfrm>
        <a:prstGeom prst="roundRect">
          <a:avLst>
            <a:gd name="adj" fmla="val 16667"/>
          </a:avLst>
        </a:prstGeom>
        <a:solidFill>
          <a:srgbClr val="C6D9F1"/>
        </a:solidFill>
        <a:ln w="25400" algn="ctr">
          <a:solidFill>
            <a:srgbClr val="385D8A"/>
          </a:solidFill>
          <a:round/>
          <a:headEnd/>
          <a:tailEnd/>
        </a:ln>
        <a:effectLst>
          <a:outerShdw dist="38100" dir="2700000" sx="102000" sy="102000" algn="tl" rotWithShape="0">
            <a:srgbClr val="000000">
              <a:alpha val="39998"/>
            </a:srgbClr>
          </a:outerShdw>
        </a:effectLst>
      </xdr:spPr>
      <xdr:txBody>
        <a:bodyPr vertOverflow="clip" wrap="square" lIns="27432" tIns="22860" rIns="27432" bIns="22860" anchor="ctr" upright="1"/>
        <a:lstStyle/>
        <a:p>
          <a:pPr algn="ctr" rtl="0">
            <a:defRPr sz="1000"/>
          </a:pPr>
          <a:r>
            <a:rPr lang="en-US" sz="1100" b="1" i="0" u="none" strike="noStrike" baseline="0">
              <a:solidFill>
                <a:srgbClr val="003366"/>
              </a:solidFill>
              <a:latin typeface="Calibri"/>
            </a:rPr>
            <a:t>Optimize Portfolio</a:t>
          </a:r>
        </a:p>
      </xdr:txBody>
    </xdr:sp>
    <xdr:clientData/>
  </xdr:twoCellAnchor>
  <xdr:twoCellAnchor>
    <xdr:from>
      <xdr:col>7</xdr:col>
      <xdr:colOff>0</xdr:colOff>
      <xdr:row>3</xdr:row>
      <xdr:rowOff>171450</xdr:rowOff>
    </xdr:from>
    <xdr:to>
      <xdr:col>9</xdr:col>
      <xdr:colOff>266700</xdr:colOff>
      <xdr:row>6</xdr:row>
      <xdr:rowOff>28575</xdr:rowOff>
    </xdr:to>
    <xdr:sp macro="[1]!Reset" textlink="">
      <xdr:nvSpPr>
        <xdr:cNvPr id="514073" name="Rounded Rectangle 6" descr="48be9469-efc9-49f1-be7c-1316a8ae6968"/>
        <xdr:cNvSpPr>
          <a:spLocks noChangeArrowheads="1"/>
        </xdr:cNvSpPr>
      </xdr:nvSpPr>
      <xdr:spPr bwMode="auto">
        <a:xfrm>
          <a:off x="5657850" y="1438275"/>
          <a:ext cx="1828800" cy="457200"/>
        </a:xfrm>
        <a:prstGeom prst="roundRect">
          <a:avLst>
            <a:gd name="adj" fmla="val 16667"/>
          </a:avLst>
        </a:prstGeom>
        <a:solidFill>
          <a:srgbClr val="C6D9F1"/>
        </a:solidFill>
        <a:ln w="25400" algn="ctr">
          <a:solidFill>
            <a:srgbClr val="385D8A"/>
          </a:solidFill>
          <a:round/>
          <a:headEnd/>
          <a:tailEnd/>
        </a:ln>
        <a:effectLst>
          <a:outerShdw dist="38100" dir="2700000" sx="102000" sy="102000" algn="tl" rotWithShape="0">
            <a:srgbClr val="000000">
              <a:alpha val="39998"/>
            </a:srgbClr>
          </a:outerShdw>
        </a:effectLst>
      </xdr:spPr>
      <xdr:txBody>
        <a:bodyPr vertOverflow="clip" wrap="square" lIns="27432" tIns="22860" rIns="27432" bIns="22860" anchor="ctr" upright="1"/>
        <a:lstStyle/>
        <a:p>
          <a:pPr algn="ctr" rtl="0">
            <a:defRPr sz="1000"/>
          </a:pPr>
          <a:r>
            <a:rPr lang="en-US" sz="1100" b="1" i="0" u="none" strike="noStrike" baseline="0">
              <a:solidFill>
                <a:srgbClr val="003366"/>
              </a:solidFill>
              <a:latin typeface="Calibri"/>
            </a:rPr>
            <a:t>Reset Portfolio</a:t>
          </a:r>
        </a:p>
      </xdr:txBody>
    </xdr:sp>
    <xdr:clientData/>
  </xdr:twoCellAnchor>
  <xdr:twoCellAnchor>
    <xdr:from>
      <xdr:col>11</xdr:col>
      <xdr:colOff>85725</xdr:colOff>
      <xdr:row>1</xdr:row>
      <xdr:rowOff>42862</xdr:rowOff>
    </xdr:from>
    <xdr:to>
      <xdr:col>18</xdr:col>
      <xdr:colOff>390525</xdr:colOff>
      <xdr:row>13</xdr:row>
      <xdr:rowOff>4762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gram%20Files%20(x86)/Oracle/Crystal%20Ball/CBDevKit.xla"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s>
    <definedNames>
      <definedName name="Reset"/>
    </defined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D10004"/>
  <sheetViews>
    <sheetView workbookViewId="0"/>
  </sheetViews>
  <sheetFormatPr defaultRowHeight="12.75"/>
  <cols>
    <col min="1" max="2" width="36.7109375" customWidth="1"/>
  </cols>
  <sheetData>
    <row r="1" spans="1:3">
      <c r="A1" s="6" t="s">
        <v>94</v>
      </c>
    </row>
    <row r="3" spans="1:3">
      <c r="A3" t="s">
        <v>95</v>
      </c>
      <c r="B3" t="s">
        <v>96</v>
      </c>
      <c r="C3">
        <v>0</v>
      </c>
    </row>
    <row r="4" spans="1:3">
      <c r="A4" t="s">
        <v>97</v>
      </c>
    </row>
    <row r="5" spans="1:3">
      <c r="A5" t="s">
        <v>98</v>
      </c>
    </row>
    <row r="7" spans="1:3">
      <c r="A7" s="6" t="s">
        <v>99</v>
      </c>
      <c r="B7" t="s">
        <v>100</v>
      </c>
    </row>
    <row r="8" spans="1:3">
      <c r="B8">
        <v>2</v>
      </c>
    </row>
    <row r="10" spans="1:3">
      <c r="A10" t="s">
        <v>101</v>
      </c>
    </row>
    <row r="11" spans="1:3">
      <c r="A11" t="e">
        <f>CB_DATA_!#REF!</f>
        <v>#REF!</v>
      </c>
      <c r="B11" t="e">
        <f>Model!#REF!</f>
        <v>#REF!</v>
      </c>
    </row>
    <row r="13" spans="1:3">
      <c r="A13" t="s">
        <v>102</v>
      </c>
    </row>
    <row r="14" spans="1:3">
      <c r="A14" t="s">
        <v>1129</v>
      </c>
      <c r="B14" t="s">
        <v>1134</v>
      </c>
    </row>
    <row r="16" spans="1:3">
      <c r="A16" t="s">
        <v>103</v>
      </c>
    </row>
    <row r="19" spans="1:2">
      <c r="A19" t="s">
        <v>104</v>
      </c>
    </row>
    <row r="20" spans="1:2">
      <c r="A20">
        <v>31</v>
      </c>
      <c r="B20">
        <v>34</v>
      </c>
    </row>
    <row r="25" spans="1:2">
      <c r="A25" s="6" t="s">
        <v>105</v>
      </c>
    </row>
    <row r="26" spans="1:2">
      <c r="A26" s="51" t="s">
        <v>1130</v>
      </c>
      <c r="B26" s="51" t="s">
        <v>1130</v>
      </c>
    </row>
    <row r="27" spans="1:2">
      <c r="A27" t="s">
        <v>1139</v>
      </c>
      <c r="B27" t="s">
        <v>1140</v>
      </c>
    </row>
    <row r="28" spans="1:2">
      <c r="A28" s="51" t="s">
        <v>1131</v>
      </c>
      <c r="B28" s="51" t="s">
        <v>1131</v>
      </c>
    </row>
    <row r="29" spans="1:2">
      <c r="A29" s="51" t="s">
        <v>1132</v>
      </c>
      <c r="B29" s="51" t="s">
        <v>1136</v>
      </c>
    </row>
    <row r="30" spans="1:2">
      <c r="A30" t="s">
        <v>1143</v>
      </c>
      <c r="B30" t="s">
        <v>1141</v>
      </c>
    </row>
    <row r="31" spans="1:2">
      <c r="A31" s="51" t="s">
        <v>1133</v>
      </c>
      <c r="B31" s="51" t="s">
        <v>1131</v>
      </c>
    </row>
    <row r="32" spans="1:2">
      <c r="B32" s="51" t="s">
        <v>1135</v>
      </c>
    </row>
    <row r="33" spans="2:2">
      <c r="B33" t="s">
        <v>1142</v>
      </c>
    </row>
    <row r="34" spans="2:2">
      <c r="B34" s="51" t="s">
        <v>1131</v>
      </c>
    </row>
    <row r="10000" spans="1:1">
      <c r="A10000" t="s">
        <v>93</v>
      </c>
    </row>
    <row r="10001" spans="1:4">
      <c r="A10001" t="str">
        <f>"{0.MEAN}"</f>
        <v>{0.MEAN}</v>
      </c>
    </row>
    <row r="10003" spans="1:4">
      <c r="A10003" t="b">
        <f>Portfolio_Resources&lt;=Resource_Capacity</f>
        <v>1</v>
      </c>
      <c r="B10003" t="b">
        <f>$C$10003 &lt;= $D$10003</f>
        <v>1</v>
      </c>
      <c r="C10003">
        <f>Portfolio_Resources</f>
        <v>2988</v>
      </c>
      <c r="D10003">
        <f>Resource_Capacity</f>
        <v>3000</v>
      </c>
    </row>
    <row r="10004" spans="1:4">
      <c r="A10004" t="b">
        <f>Portfolio_Expenses &lt;= Budget</f>
        <v>1</v>
      </c>
      <c r="B10004" t="b">
        <f>$C$10004 &lt;= $D$10004</f>
        <v>1</v>
      </c>
      <c r="C10004">
        <f>Portfolio_Expenses</f>
        <v>4980871</v>
      </c>
      <c r="D10004">
        <f>Budget</f>
        <v>5000000</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sheetPr codeName="Sheet2"/>
  <dimension ref="A1:AV135"/>
  <sheetViews>
    <sheetView showGridLines="0" tabSelected="1" zoomScaleNormal="100" workbookViewId="0">
      <selection activeCell="B13" sqref="B13"/>
    </sheetView>
  </sheetViews>
  <sheetFormatPr defaultRowHeight="12.75"/>
  <cols>
    <col min="1" max="1" width="4.140625" bestFit="1" customWidth="1"/>
    <col min="2" max="2" width="8" style="4" customWidth="1"/>
    <col min="3" max="3" width="25.5703125" customWidth="1"/>
    <col min="4" max="4" width="16.42578125" bestFit="1" customWidth="1"/>
    <col min="5" max="5" width="21.85546875" customWidth="1"/>
    <col min="6" max="6" width="16.42578125" customWidth="1"/>
    <col min="7" max="7" width="14.28515625" customWidth="1"/>
    <col min="8" max="8" width="15.28515625" bestFit="1" customWidth="1"/>
    <col min="9" max="9" width="8.140625" bestFit="1" customWidth="1"/>
    <col min="10" max="10" width="12.7109375" customWidth="1"/>
    <col min="11" max="11" width="4.7109375" customWidth="1"/>
    <col min="22" max="23" width="12.140625" bestFit="1" customWidth="1"/>
    <col min="24" max="24" width="18.7109375" bestFit="1" customWidth="1"/>
    <col min="25" max="27" width="12.140625" bestFit="1" customWidth="1"/>
  </cols>
  <sheetData>
    <row r="1" spans="1:28" ht="20.25">
      <c r="B1" s="13" t="s">
        <v>137</v>
      </c>
    </row>
    <row r="2" spans="1:28" ht="16.5" thickBot="1">
      <c r="B2" s="12"/>
      <c r="C2" s="27" t="s">
        <v>305</v>
      </c>
      <c r="D2" s="28">
        <v>5000000</v>
      </c>
      <c r="E2" s="27" t="s">
        <v>1138</v>
      </c>
      <c r="F2" s="57">
        <v>3000</v>
      </c>
    </row>
    <row r="3" spans="1:28" ht="36" customHeight="1">
      <c r="B3" s="12"/>
      <c r="C3" s="27"/>
      <c r="D3" s="29" t="s">
        <v>299</v>
      </c>
      <c r="E3" s="30" t="s">
        <v>304</v>
      </c>
      <c r="F3" s="30"/>
      <c r="H3" s="23"/>
      <c r="L3">
        <v>0</v>
      </c>
      <c r="X3" s="32"/>
      <c r="Y3" s="33"/>
      <c r="Z3" s="34" t="str">
        <f>D3</f>
        <v>All Projects</v>
      </c>
      <c r="AA3" s="34" t="str">
        <f>E3</f>
        <v>Suggested Projects</v>
      </c>
      <c r="AB3" s="35"/>
    </row>
    <row r="4" spans="1:28" ht="15.75">
      <c r="B4" s="12"/>
      <c r="C4" s="27" t="s">
        <v>296</v>
      </c>
      <c r="D4" s="25">
        <f>SUM(G12:G300)</f>
        <v>10699000</v>
      </c>
      <c r="E4" s="42">
        <f>SUMPRODUCT(G13:G300,$J$13:$J$300)</f>
        <v>7893000</v>
      </c>
      <c r="F4" s="55"/>
      <c r="X4" s="36" t="s">
        <v>308</v>
      </c>
      <c r="Y4" s="37">
        <v>0</v>
      </c>
      <c r="Z4" s="37">
        <f>MIN(Budget,Total_Expenses)</f>
        <v>5000000</v>
      </c>
      <c r="AA4" s="37">
        <f>MIN(Budget,Portfolio_Expenses)</f>
        <v>4980871</v>
      </c>
      <c r="AB4" s="38">
        <v>0</v>
      </c>
    </row>
    <row r="5" spans="1:28" ht="15">
      <c r="B5" s="12"/>
      <c r="C5" s="27" t="s">
        <v>91</v>
      </c>
      <c r="D5" s="28">
        <f>SUM(E13:E300)</f>
        <v>8517539</v>
      </c>
      <c r="E5" s="28">
        <f>SUMPRODUCT(E13:E300,$J$13:$J$300)</f>
        <v>4980871</v>
      </c>
      <c r="F5" s="56"/>
      <c r="I5" s="11"/>
      <c r="J5" s="5"/>
      <c r="X5" s="36" t="s">
        <v>308</v>
      </c>
      <c r="Y5" s="37">
        <v>0</v>
      </c>
      <c r="Z5" s="37">
        <f>MAX(Total_Expenses-Budget,0)</f>
        <v>3517539</v>
      </c>
      <c r="AA5" s="37">
        <f>MAX(Portfolio_Expenses-Budget,0)</f>
        <v>0</v>
      </c>
      <c r="AB5" s="38">
        <v>0</v>
      </c>
    </row>
    <row r="6" spans="1:28" ht="16.5" thickBot="1">
      <c r="B6" s="12"/>
      <c r="C6" s="27" t="s">
        <v>138</v>
      </c>
      <c r="D6" s="25">
        <f>Budget-Total_Expenses</f>
        <v>-3517539</v>
      </c>
      <c r="E6" s="25">
        <f>Budget-Portfolio_Expenses</f>
        <v>19129</v>
      </c>
      <c r="F6" s="55"/>
      <c r="J6" s="5"/>
      <c r="X6" s="39" t="s">
        <v>305</v>
      </c>
      <c r="Y6" s="40">
        <f>Budget</f>
        <v>5000000</v>
      </c>
      <c r="Z6" s="40">
        <f>Budget</f>
        <v>5000000</v>
      </c>
      <c r="AA6" s="40">
        <f>Budget</f>
        <v>5000000</v>
      </c>
      <c r="AB6" s="41">
        <f>Budget</f>
        <v>5000000</v>
      </c>
    </row>
    <row r="7" spans="1:28" ht="15.75">
      <c r="B7" s="7"/>
      <c r="C7" s="27" t="s">
        <v>300</v>
      </c>
      <c r="D7" s="24">
        <f>COUNTA(J:J)-1</f>
        <v>36</v>
      </c>
      <c r="E7" s="24">
        <f>COUNTIF(J:J,1)</f>
        <v>20</v>
      </c>
      <c r="F7" s="24"/>
      <c r="I7" s="9"/>
      <c r="J7" s="8"/>
    </row>
    <row r="8" spans="1:28" ht="15.75">
      <c r="B8" s="7"/>
      <c r="C8" s="27" t="s">
        <v>1137</v>
      </c>
      <c r="D8" s="58">
        <f>SUM(F13:F300)</f>
        <v>5457</v>
      </c>
      <c r="E8" s="24">
        <f>SUMPRODUCT(F13:F300,$J$13:$J$300)</f>
        <v>2988</v>
      </c>
      <c r="F8" s="24"/>
      <c r="I8" s="9"/>
      <c r="J8" s="8"/>
      <c r="Y8" s="60" t="str">
        <f>D3</f>
        <v>All Projects</v>
      </c>
      <c r="Z8" s="60" t="str">
        <f>E3</f>
        <v>Suggested Projects</v>
      </c>
    </row>
    <row r="9" spans="1:28" ht="15.75">
      <c r="B9" s="7"/>
      <c r="C9" s="27" t="s">
        <v>138</v>
      </c>
      <c r="D9" s="59">
        <f>Resource_Capacity-Total_Resources</f>
        <v>-2457</v>
      </c>
      <c r="E9" s="59">
        <f>Resource_Capacity-Portfolio_Resources</f>
        <v>12</v>
      </c>
      <c r="F9" s="24"/>
      <c r="I9" s="9"/>
      <c r="J9" s="8"/>
      <c r="X9" s="60" t="str">
        <f>C4</f>
        <v>Benefits</v>
      </c>
      <c r="Y9" s="60">
        <f t="shared" ref="Y9:Y10" si="0">D4</f>
        <v>10699000</v>
      </c>
      <c r="Z9" s="60">
        <f t="shared" ref="Z9:Z10" si="1">E4</f>
        <v>7893000</v>
      </c>
    </row>
    <row r="10" spans="1:28">
      <c r="C10" s="8"/>
      <c r="D10" s="8"/>
      <c r="E10" s="4"/>
      <c r="F10" s="4"/>
      <c r="X10" s="60" t="str">
        <f>C5</f>
        <v>Expenses</v>
      </c>
      <c r="Y10" s="60">
        <f t="shared" si="0"/>
        <v>8517539</v>
      </c>
      <c r="Z10" s="60">
        <f t="shared" si="1"/>
        <v>4980871</v>
      </c>
    </row>
    <row r="11" spans="1:28" ht="21" customHeight="1">
      <c r="B11" s="61" t="s">
        <v>90</v>
      </c>
      <c r="C11" s="61"/>
      <c r="D11" s="61"/>
      <c r="E11" s="61"/>
      <c r="F11" s="61"/>
      <c r="G11" s="61"/>
      <c r="H11" s="61"/>
      <c r="I11" s="61"/>
      <c r="J11" s="61"/>
      <c r="X11" t="str">
        <f>C8</f>
        <v>Resources</v>
      </c>
      <c r="Y11">
        <f>D8</f>
        <v>5457</v>
      </c>
      <c r="Z11">
        <f>E8</f>
        <v>2988</v>
      </c>
    </row>
    <row r="12" spans="1:28" ht="25.5">
      <c r="B12" s="18" t="s">
        <v>26</v>
      </c>
      <c r="C12" s="19" t="s">
        <v>0</v>
      </c>
      <c r="D12" s="43" t="s">
        <v>510</v>
      </c>
      <c r="E12" s="20" t="s">
        <v>91</v>
      </c>
      <c r="F12" s="20" t="s">
        <v>1137</v>
      </c>
      <c r="G12" s="19" t="s">
        <v>296</v>
      </c>
      <c r="H12" s="22" t="s">
        <v>297</v>
      </c>
      <c r="I12" s="22" t="s">
        <v>298</v>
      </c>
      <c r="J12" s="19" t="s">
        <v>92</v>
      </c>
    </row>
    <row r="13" spans="1:28">
      <c r="A13" s="14"/>
      <c r="B13" s="15" t="s">
        <v>592</v>
      </c>
      <c r="C13" s="16" t="s">
        <v>123</v>
      </c>
      <c r="D13" s="16" t="s">
        <v>561</v>
      </c>
      <c r="E13" s="17">
        <v>337108</v>
      </c>
      <c r="F13" s="54">
        <v>125</v>
      </c>
      <c r="G13" s="17">
        <v>0</v>
      </c>
      <c r="H13" s="26" t="s">
        <v>6</v>
      </c>
      <c r="I13" s="4" t="str">
        <f>IF(J13=0,"On Hold","Active")</f>
        <v>On Hold</v>
      </c>
      <c r="J13" s="52">
        <v>0</v>
      </c>
    </row>
    <row r="14" spans="1:28">
      <c r="A14" s="14"/>
      <c r="B14" s="15" t="s">
        <v>593</v>
      </c>
      <c r="C14" s="16" t="s">
        <v>117</v>
      </c>
      <c r="D14" s="16" t="s">
        <v>561</v>
      </c>
      <c r="E14" s="17">
        <v>132400</v>
      </c>
      <c r="F14" s="54">
        <v>105</v>
      </c>
      <c r="G14" s="17">
        <v>200000</v>
      </c>
      <c r="H14" s="26" t="s">
        <v>6</v>
      </c>
      <c r="I14" s="4" t="str">
        <f>IF(J14=0,"On Hold","Active")</f>
        <v>Active</v>
      </c>
      <c r="J14" s="52">
        <v>1</v>
      </c>
    </row>
    <row r="15" spans="1:28">
      <c r="A15" s="14"/>
      <c r="B15" s="15" t="s">
        <v>594</v>
      </c>
      <c r="C15" s="16" t="s">
        <v>133</v>
      </c>
      <c r="D15" s="16" t="s">
        <v>248</v>
      </c>
      <c r="E15" s="17">
        <v>382791</v>
      </c>
      <c r="F15" s="54">
        <v>180</v>
      </c>
      <c r="G15" s="17">
        <v>600000</v>
      </c>
      <c r="H15" s="26" t="s">
        <v>6</v>
      </c>
      <c r="I15" s="4" t="str">
        <f>IF(J15=0,"On Hold","Active")</f>
        <v>Active</v>
      </c>
      <c r="J15" s="52">
        <v>1</v>
      </c>
    </row>
    <row r="16" spans="1:28">
      <c r="A16" s="14"/>
      <c r="B16" s="15" t="s">
        <v>595</v>
      </c>
      <c r="C16" s="16" t="s">
        <v>125</v>
      </c>
      <c r="D16" s="16" t="s">
        <v>249</v>
      </c>
      <c r="E16" s="17">
        <v>283400</v>
      </c>
      <c r="F16" s="54">
        <v>191</v>
      </c>
      <c r="G16" s="17">
        <v>150000</v>
      </c>
      <c r="H16" s="26" t="s">
        <v>6</v>
      </c>
      <c r="I16" s="4" t="str">
        <f>IF(J16=0,"On Hold","Active")</f>
        <v>On Hold</v>
      </c>
      <c r="J16" s="52">
        <v>0</v>
      </c>
    </row>
    <row r="17" spans="1:28">
      <c r="A17" s="14"/>
      <c r="B17" s="15" t="s">
        <v>596</v>
      </c>
      <c r="C17" s="16" t="s">
        <v>129</v>
      </c>
      <c r="D17" s="16" t="s">
        <v>532</v>
      </c>
      <c r="E17" s="17">
        <v>21280</v>
      </c>
      <c r="F17" s="54">
        <v>159</v>
      </c>
      <c r="G17" s="17">
        <v>220000</v>
      </c>
      <c r="H17" s="26" t="s">
        <v>6</v>
      </c>
      <c r="I17" s="4" t="str">
        <f>IF(J17=0,"On Hold","Active")</f>
        <v>Active</v>
      </c>
      <c r="J17" s="52">
        <v>1</v>
      </c>
    </row>
    <row r="18" spans="1:28" s="6" customFormat="1">
      <c r="A18" s="14"/>
      <c r="B18" s="15" t="s">
        <v>597</v>
      </c>
      <c r="C18" s="16" t="s">
        <v>128</v>
      </c>
      <c r="D18" s="16" t="s">
        <v>561</v>
      </c>
      <c r="E18" s="17">
        <v>189200</v>
      </c>
      <c r="F18" s="54">
        <v>120</v>
      </c>
      <c r="G18" s="17">
        <v>0</v>
      </c>
      <c r="H18" s="26" t="s">
        <v>6</v>
      </c>
      <c r="I18" s="4" t="str">
        <f>IF(J18=0,"On Hold","Active")</f>
        <v>On Hold</v>
      </c>
      <c r="J18" s="52">
        <v>0</v>
      </c>
      <c r="S18"/>
      <c r="X18"/>
      <c r="Y18"/>
      <c r="Z18"/>
      <c r="AA18"/>
      <c r="AB18"/>
    </row>
    <row r="19" spans="1:28" s="8" customFormat="1">
      <c r="A19" s="14"/>
      <c r="B19" s="15" t="s">
        <v>598</v>
      </c>
      <c r="C19" s="16" t="s">
        <v>132</v>
      </c>
      <c r="D19" s="16" t="s">
        <v>249</v>
      </c>
      <c r="E19" s="17">
        <v>159920</v>
      </c>
      <c r="F19" s="54">
        <v>161</v>
      </c>
      <c r="G19" s="17">
        <v>190000</v>
      </c>
      <c r="H19" s="26" t="s">
        <v>6</v>
      </c>
      <c r="I19" s="4" t="str">
        <f>IF(J19=0,"On Hold","Active")</f>
        <v>On Hold</v>
      </c>
      <c r="J19" s="52">
        <v>0</v>
      </c>
      <c r="S19"/>
      <c r="X19" s="6"/>
      <c r="Y19" s="6"/>
      <c r="Z19" s="6"/>
      <c r="AA19" s="6"/>
      <c r="AB19" s="6"/>
    </row>
    <row r="20" spans="1:28">
      <c r="A20" s="14"/>
      <c r="B20" s="15" t="s">
        <v>599</v>
      </c>
      <c r="C20" s="16" t="s">
        <v>114</v>
      </c>
      <c r="D20" s="16" t="s">
        <v>112</v>
      </c>
      <c r="E20" s="17">
        <v>394440</v>
      </c>
      <c r="F20" s="54">
        <v>129</v>
      </c>
      <c r="G20" s="17">
        <v>0</v>
      </c>
      <c r="H20" s="26" t="s">
        <v>6</v>
      </c>
      <c r="I20" s="4" t="str">
        <f>IF(J20=0,"On Hold","Active")</f>
        <v>On Hold</v>
      </c>
      <c r="J20" s="52">
        <v>0</v>
      </c>
      <c r="X20" s="8"/>
      <c r="Y20" s="8"/>
      <c r="Z20" s="8"/>
      <c r="AA20" s="8"/>
      <c r="AB20" s="8"/>
    </row>
    <row r="21" spans="1:28">
      <c r="A21" s="14"/>
      <c r="B21" s="15" t="s">
        <v>591</v>
      </c>
      <c r="C21" s="16" t="s">
        <v>456</v>
      </c>
      <c r="D21" s="16" t="s">
        <v>561</v>
      </c>
      <c r="E21" s="17">
        <v>291440</v>
      </c>
      <c r="F21" s="54">
        <v>145</v>
      </c>
      <c r="G21" s="17">
        <v>350000</v>
      </c>
      <c r="H21" s="26" t="s">
        <v>6</v>
      </c>
      <c r="I21" s="4" t="str">
        <f>IF(J21=0,"On Hold","Active")</f>
        <v>On Hold</v>
      </c>
      <c r="J21" s="52">
        <v>0</v>
      </c>
    </row>
    <row r="22" spans="1:28">
      <c r="A22" s="14"/>
      <c r="B22" s="15" t="s">
        <v>580</v>
      </c>
      <c r="C22" s="16" t="s">
        <v>134</v>
      </c>
      <c r="D22" s="16" t="s">
        <v>112</v>
      </c>
      <c r="E22" s="17">
        <v>164280</v>
      </c>
      <c r="F22" s="54">
        <v>172</v>
      </c>
      <c r="G22" s="17">
        <v>242000</v>
      </c>
      <c r="H22" s="26" t="s">
        <v>6</v>
      </c>
      <c r="I22" s="4" t="str">
        <f>IF(J22=0,"On Hold","Active")</f>
        <v>On Hold</v>
      </c>
      <c r="J22" s="52">
        <v>0</v>
      </c>
    </row>
    <row r="23" spans="1:28">
      <c r="A23" s="14"/>
      <c r="B23" s="15" t="s">
        <v>581</v>
      </c>
      <c r="C23" s="16" t="s">
        <v>124</v>
      </c>
      <c r="D23" s="16" t="s">
        <v>249</v>
      </c>
      <c r="E23" s="17">
        <v>419220</v>
      </c>
      <c r="F23" s="54">
        <v>185</v>
      </c>
      <c r="G23" s="17">
        <v>700000</v>
      </c>
      <c r="H23" s="26" t="s">
        <v>6</v>
      </c>
      <c r="I23" s="4" t="str">
        <f>IF(J23=0,"On Hold","Active")</f>
        <v>Active</v>
      </c>
      <c r="J23" s="52">
        <v>1</v>
      </c>
    </row>
    <row r="24" spans="1:28">
      <c r="A24" s="14"/>
      <c r="B24" s="15" t="s">
        <v>582</v>
      </c>
      <c r="C24" s="16" t="s">
        <v>1083</v>
      </c>
      <c r="D24" s="16" t="s">
        <v>532</v>
      </c>
      <c r="E24" s="17">
        <v>297400</v>
      </c>
      <c r="F24" s="54">
        <v>172</v>
      </c>
      <c r="G24" s="17">
        <v>422000</v>
      </c>
      <c r="H24" s="26" t="s">
        <v>6</v>
      </c>
      <c r="I24" s="4" t="str">
        <f>IF(J24=0,"On Hold","Active")</f>
        <v>Active</v>
      </c>
      <c r="J24" s="52">
        <v>1</v>
      </c>
    </row>
    <row r="25" spans="1:28">
      <c r="A25" s="14"/>
      <c r="B25" s="15" t="s">
        <v>583</v>
      </c>
      <c r="C25" s="16" t="s">
        <v>131</v>
      </c>
      <c r="D25" s="16" t="s">
        <v>112</v>
      </c>
      <c r="E25" s="17">
        <v>258520</v>
      </c>
      <c r="F25" s="54">
        <v>156</v>
      </c>
      <c r="G25" s="17">
        <v>327000</v>
      </c>
      <c r="H25" s="26" t="s">
        <v>6</v>
      </c>
      <c r="I25" s="4" t="str">
        <f>IF(J25=0,"On Hold","Active")</f>
        <v>On Hold</v>
      </c>
      <c r="J25" s="52">
        <v>0</v>
      </c>
    </row>
    <row r="26" spans="1:28">
      <c r="A26" s="14"/>
      <c r="B26" s="15" t="s">
        <v>584</v>
      </c>
      <c r="C26" s="16" t="s">
        <v>10</v>
      </c>
      <c r="D26" s="16" t="s">
        <v>248</v>
      </c>
      <c r="E26" s="17">
        <v>118960</v>
      </c>
      <c r="F26" s="54">
        <v>134</v>
      </c>
      <c r="G26" s="17">
        <v>142000</v>
      </c>
      <c r="H26" s="26" t="s">
        <v>6</v>
      </c>
      <c r="I26" s="4" t="str">
        <f>IF(J26=0,"On Hold","Active")</f>
        <v>On Hold</v>
      </c>
      <c r="J26" s="52">
        <v>0</v>
      </c>
    </row>
    <row r="27" spans="1:28">
      <c r="A27" s="14"/>
      <c r="B27" s="15" t="s">
        <v>585</v>
      </c>
      <c r="C27" s="16" t="s">
        <v>504</v>
      </c>
      <c r="D27" s="16" t="s">
        <v>248</v>
      </c>
      <c r="E27" s="17">
        <v>97280</v>
      </c>
      <c r="F27" s="54">
        <v>139</v>
      </c>
      <c r="G27" s="17">
        <v>180000</v>
      </c>
      <c r="H27" s="26" t="s">
        <v>6</v>
      </c>
      <c r="I27" s="4" t="str">
        <f>IF(J27=0,"On Hold","Active")</f>
        <v>Active</v>
      </c>
      <c r="J27" s="52">
        <v>1</v>
      </c>
    </row>
    <row r="28" spans="1:28">
      <c r="A28" s="14"/>
      <c r="B28" s="15" t="s">
        <v>586</v>
      </c>
      <c r="C28" s="16" t="s">
        <v>230</v>
      </c>
      <c r="D28" s="16" t="s">
        <v>112</v>
      </c>
      <c r="E28" s="17">
        <v>337800</v>
      </c>
      <c r="F28" s="54">
        <v>137</v>
      </c>
      <c r="G28" s="17">
        <v>400000</v>
      </c>
      <c r="H28" s="26" t="s">
        <v>6</v>
      </c>
      <c r="I28" s="4" t="str">
        <f>IF(J28=0,"On Hold","Active")</f>
        <v>On Hold</v>
      </c>
      <c r="J28" s="52">
        <v>0</v>
      </c>
    </row>
    <row r="29" spans="1:28">
      <c r="A29" s="14"/>
      <c r="B29" s="15" t="s">
        <v>587</v>
      </c>
      <c r="C29" s="16" t="s">
        <v>15</v>
      </c>
      <c r="D29" s="16" t="s">
        <v>112</v>
      </c>
      <c r="E29" s="17">
        <v>365740</v>
      </c>
      <c r="F29" s="54">
        <v>142</v>
      </c>
      <c r="G29" s="17">
        <v>570000</v>
      </c>
      <c r="H29" s="26" t="s">
        <v>6</v>
      </c>
      <c r="I29" s="4" t="str">
        <f>IF(J29=0,"On Hold","Active")</f>
        <v>Active</v>
      </c>
      <c r="J29" s="52">
        <v>1</v>
      </c>
    </row>
    <row r="30" spans="1:28">
      <c r="A30" s="14"/>
      <c r="B30" s="15" t="s">
        <v>1128</v>
      </c>
      <c r="C30" s="16" t="s">
        <v>1091</v>
      </c>
      <c r="D30" s="16" t="s">
        <v>249</v>
      </c>
      <c r="E30" s="17">
        <v>24640</v>
      </c>
      <c r="F30" s="54">
        <v>175</v>
      </c>
      <c r="G30" s="17">
        <v>0</v>
      </c>
      <c r="H30" s="26" t="s">
        <v>6</v>
      </c>
      <c r="I30" s="4" t="str">
        <f>IF(J30=0,"On Hold","Active")</f>
        <v>On Hold</v>
      </c>
      <c r="J30" s="52">
        <v>0</v>
      </c>
    </row>
    <row r="31" spans="1:28">
      <c r="A31" s="14"/>
      <c r="B31" s="15" t="s">
        <v>588</v>
      </c>
      <c r="C31" s="16" t="s">
        <v>127</v>
      </c>
      <c r="D31" s="16" t="s">
        <v>532</v>
      </c>
      <c r="E31" s="17">
        <v>185880</v>
      </c>
      <c r="F31" s="54">
        <v>193</v>
      </c>
      <c r="G31" s="17">
        <v>250000</v>
      </c>
      <c r="H31" s="26" t="s">
        <v>130</v>
      </c>
      <c r="I31" s="4" t="str">
        <f>IF(J31=0,"On Hold","Active")</f>
        <v>On Hold</v>
      </c>
      <c r="J31" s="52">
        <v>0</v>
      </c>
    </row>
    <row r="32" spans="1:28">
      <c r="A32" s="14"/>
      <c r="B32" s="15" t="s">
        <v>589</v>
      </c>
      <c r="C32" s="16" t="s">
        <v>8</v>
      </c>
      <c r="D32" s="16" t="s">
        <v>248</v>
      </c>
      <c r="E32" s="17">
        <v>149080</v>
      </c>
      <c r="F32" s="54">
        <v>198</v>
      </c>
      <c r="G32" s="17">
        <v>180000</v>
      </c>
      <c r="H32" s="26" t="s">
        <v>6</v>
      </c>
      <c r="I32" s="4" t="str">
        <f>IF(J32=0,"On Hold","Active")</f>
        <v>On Hold</v>
      </c>
      <c r="J32" s="52">
        <v>0</v>
      </c>
    </row>
    <row r="33" spans="1:48">
      <c r="A33" s="14"/>
      <c r="B33" s="15" t="s">
        <v>590</v>
      </c>
      <c r="C33" s="16" t="s">
        <v>119</v>
      </c>
      <c r="D33" s="16" t="s">
        <v>112</v>
      </c>
      <c r="E33" s="17">
        <v>211760</v>
      </c>
      <c r="F33" s="54">
        <v>129</v>
      </c>
      <c r="G33" s="17">
        <v>250000</v>
      </c>
      <c r="H33" s="26" t="s">
        <v>6</v>
      </c>
      <c r="I33" s="4" t="str">
        <f>IF(J33=0,"On Hold","Active")</f>
        <v>Active</v>
      </c>
      <c r="J33" s="52">
        <v>1</v>
      </c>
    </row>
    <row r="34" spans="1:48">
      <c r="A34" s="14"/>
      <c r="B34" s="15" t="s">
        <v>306</v>
      </c>
      <c r="C34" s="16" t="s">
        <v>210</v>
      </c>
      <c r="D34" s="47" t="s">
        <v>249</v>
      </c>
      <c r="E34" s="17">
        <v>500000</v>
      </c>
      <c r="F34" s="54">
        <v>107</v>
      </c>
      <c r="G34" s="17">
        <v>350000</v>
      </c>
      <c r="H34" s="26" t="s">
        <v>160</v>
      </c>
      <c r="I34" s="4" t="str">
        <f>IF(J34=0,"On Hold","Approve")</f>
        <v>On Hold</v>
      </c>
      <c r="J34" s="52">
        <v>0</v>
      </c>
    </row>
    <row r="35" spans="1:48">
      <c r="A35" s="14"/>
      <c r="B35" s="15" t="s">
        <v>1038</v>
      </c>
      <c r="C35" s="16" t="s">
        <v>258</v>
      </c>
      <c r="D35" s="16" t="s">
        <v>112</v>
      </c>
      <c r="E35" s="17">
        <v>541000</v>
      </c>
      <c r="F35" s="54">
        <v>153</v>
      </c>
      <c r="G35" s="17">
        <v>728000</v>
      </c>
      <c r="H35" s="26" t="s">
        <v>160</v>
      </c>
      <c r="I35" s="4" t="str">
        <f>IF(J35=0,"On Hold","Approve")</f>
        <v>Approve</v>
      </c>
      <c r="J35" s="52">
        <v>1</v>
      </c>
    </row>
    <row r="36" spans="1:48">
      <c r="A36" s="14"/>
      <c r="B36" s="15" t="s">
        <v>1042</v>
      </c>
      <c r="C36" s="16" t="s">
        <v>153</v>
      </c>
      <c r="D36" s="47" t="s">
        <v>249</v>
      </c>
      <c r="E36" s="17">
        <v>130000</v>
      </c>
      <c r="F36" s="54">
        <v>163</v>
      </c>
      <c r="G36" s="17">
        <v>300000</v>
      </c>
      <c r="H36" s="26" t="s">
        <v>154</v>
      </c>
      <c r="I36" s="4" t="str">
        <f>IF(J36=0,"On Hold","Approve")</f>
        <v>Approve</v>
      </c>
      <c r="J36" s="52">
        <v>1</v>
      </c>
    </row>
    <row r="37" spans="1:48">
      <c r="A37" s="14"/>
      <c r="B37" s="15" t="s">
        <v>1039</v>
      </c>
      <c r="C37" s="16" t="s">
        <v>654</v>
      </c>
      <c r="D37" s="16" t="s">
        <v>561</v>
      </c>
      <c r="E37" s="17">
        <v>380000</v>
      </c>
      <c r="F37" s="54">
        <v>191</v>
      </c>
      <c r="G37" s="17">
        <v>500000</v>
      </c>
      <c r="H37" s="26" t="s">
        <v>154</v>
      </c>
      <c r="I37" s="4" t="str">
        <f>IF(J37=0,"On Hold","Approve")</f>
        <v>Approve</v>
      </c>
      <c r="J37" s="52">
        <v>1</v>
      </c>
    </row>
    <row r="38" spans="1:48">
      <c r="A38" s="14"/>
      <c r="B38" s="15" t="s">
        <v>1043</v>
      </c>
      <c r="C38" s="16" t="s">
        <v>196</v>
      </c>
      <c r="D38" s="47" t="s">
        <v>248</v>
      </c>
      <c r="E38" s="17">
        <v>72000</v>
      </c>
      <c r="F38" s="54">
        <v>114</v>
      </c>
      <c r="G38" s="17">
        <v>145000</v>
      </c>
      <c r="H38" s="26" t="s">
        <v>154</v>
      </c>
      <c r="I38" s="4" t="str">
        <f>IF(J38=0,"On Hold","Approve")</f>
        <v>Approve</v>
      </c>
      <c r="J38" s="52">
        <v>1</v>
      </c>
    </row>
    <row r="39" spans="1:48" s="6" customFormat="1">
      <c r="A39" s="14"/>
      <c r="B39" s="15" t="s">
        <v>1047</v>
      </c>
      <c r="C39" s="16" t="s">
        <v>702</v>
      </c>
      <c r="D39" s="16" t="s">
        <v>249</v>
      </c>
      <c r="E39" s="17">
        <v>67000</v>
      </c>
      <c r="F39" s="54">
        <v>143</v>
      </c>
      <c r="G39" s="17">
        <v>100000</v>
      </c>
      <c r="H39" s="26" t="s">
        <v>154</v>
      </c>
      <c r="I39" s="4" t="str">
        <f>IF(J39=0,"On Hold","Approve")</f>
        <v>On Hold</v>
      </c>
      <c r="J39" s="52">
        <v>0</v>
      </c>
      <c r="S39"/>
      <c r="T39"/>
      <c r="U39"/>
      <c r="V39"/>
      <c r="W39"/>
      <c r="X39"/>
      <c r="Y39"/>
      <c r="Z39"/>
      <c r="AA39"/>
      <c r="AB39"/>
      <c r="AC39"/>
      <c r="AD39"/>
      <c r="AE39"/>
      <c r="AF39"/>
      <c r="AG39"/>
      <c r="AH39"/>
      <c r="AI39"/>
      <c r="AJ39"/>
      <c r="AK39"/>
      <c r="AL39"/>
      <c r="AM39"/>
      <c r="AN39"/>
      <c r="AO39"/>
      <c r="AP39"/>
      <c r="AQ39"/>
      <c r="AR39"/>
      <c r="AS39"/>
      <c r="AT39"/>
      <c r="AU39"/>
      <c r="AV39"/>
    </row>
    <row r="40" spans="1:48" s="6" customFormat="1">
      <c r="A40" s="14"/>
      <c r="B40" s="15" t="s">
        <v>1046</v>
      </c>
      <c r="C40" s="16" t="s">
        <v>156</v>
      </c>
      <c r="D40" s="47" t="s">
        <v>249</v>
      </c>
      <c r="E40" s="17">
        <v>130000</v>
      </c>
      <c r="F40" s="54">
        <v>110</v>
      </c>
      <c r="G40" s="17">
        <v>300000</v>
      </c>
      <c r="H40" s="26" t="s">
        <v>160</v>
      </c>
      <c r="I40" s="4" t="str">
        <f>IF(J40=0,"On Hold","Approve")</f>
        <v>Approve</v>
      </c>
      <c r="J40" s="52">
        <v>1</v>
      </c>
      <c r="R40"/>
      <c r="S40"/>
      <c r="T40"/>
      <c r="U40"/>
      <c r="V40"/>
      <c r="W40"/>
      <c r="X40"/>
      <c r="Y40"/>
      <c r="Z40"/>
      <c r="AA40"/>
      <c r="AB40"/>
      <c r="AC40"/>
      <c r="AD40"/>
      <c r="AE40"/>
      <c r="AF40"/>
      <c r="AG40"/>
      <c r="AH40"/>
      <c r="AI40"/>
      <c r="AJ40"/>
      <c r="AK40"/>
      <c r="AL40"/>
      <c r="AM40"/>
      <c r="AN40"/>
      <c r="AO40"/>
      <c r="AP40"/>
      <c r="AQ40"/>
      <c r="AR40"/>
      <c r="AS40"/>
      <c r="AT40"/>
      <c r="AU40"/>
      <c r="AV40"/>
    </row>
    <row r="41" spans="1:48">
      <c r="A41" s="14"/>
      <c r="B41" s="15" t="s">
        <v>1040</v>
      </c>
      <c r="C41" s="16" t="s">
        <v>184</v>
      </c>
      <c r="D41" s="47" t="s">
        <v>575</v>
      </c>
      <c r="E41" s="17">
        <v>75000</v>
      </c>
      <c r="F41" s="54">
        <v>183</v>
      </c>
      <c r="G41" s="17">
        <v>125000</v>
      </c>
      <c r="H41" s="26" t="s">
        <v>154</v>
      </c>
      <c r="I41" s="4" t="str">
        <f>IF(J41=0,"On Hold","Approve")</f>
        <v>On Hold</v>
      </c>
      <c r="J41" s="52">
        <v>0</v>
      </c>
    </row>
    <row r="42" spans="1:48">
      <c r="A42" s="14"/>
      <c r="B42" s="15" t="s">
        <v>307</v>
      </c>
      <c r="C42" s="16" t="s">
        <v>220</v>
      </c>
      <c r="D42" s="16" t="s">
        <v>249</v>
      </c>
      <c r="E42" s="17">
        <v>722000</v>
      </c>
      <c r="F42" s="54">
        <v>124</v>
      </c>
      <c r="G42" s="17">
        <v>1000000</v>
      </c>
      <c r="H42" s="26" t="s">
        <v>160</v>
      </c>
      <c r="I42" s="4" t="str">
        <f>IF(J42=0,"On Hold","Approve")</f>
        <v>Approve</v>
      </c>
      <c r="J42" s="52">
        <v>1</v>
      </c>
    </row>
    <row r="43" spans="1:48">
      <c r="A43" s="14"/>
      <c r="B43" s="15" t="s">
        <v>1041</v>
      </c>
      <c r="C43" s="16" t="s">
        <v>207</v>
      </c>
      <c r="D43" s="47" t="s">
        <v>249</v>
      </c>
      <c r="E43" s="17">
        <v>156000</v>
      </c>
      <c r="F43" s="54">
        <v>109</v>
      </c>
      <c r="G43" s="17">
        <v>278000</v>
      </c>
      <c r="H43" s="26" t="s">
        <v>160</v>
      </c>
      <c r="I43" s="4" t="str">
        <f>IF(J43=0,"On Hold","Approve")</f>
        <v>Approve</v>
      </c>
      <c r="J43" s="52">
        <v>1</v>
      </c>
    </row>
    <row r="44" spans="1:48">
      <c r="A44" s="14"/>
      <c r="B44" s="15" t="s">
        <v>1044</v>
      </c>
      <c r="C44" s="16" t="s">
        <v>204</v>
      </c>
      <c r="D44" s="47" t="s">
        <v>561</v>
      </c>
      <c r="E44" s="17">
        <v>137000</v>
      </c>
      <c r="F44" s="54">
        <v>164</v>
      </c>
      <c r="G44" s="17">
        <v>272000</v>
      </c>
      <c r="H44" s="26" t="s">
        <v>154</v>
      </c>
      <c r="I44" s="4" t="str">
        <f>IF(J44=0,"On Hold","Approve")</f>
        <v>Approve</v>
      </c>
      <c r="J44" s="52">
        <v>1</v>
      </c>
    </row>
    <row r="45" spans="1:48">
      <c r="A45" s="14"/>
      <c r="B45" s="15" t="s">
        <v>1045</v>
      </c>
      <c r="C45" s="16" t="s">
        <v>682</v>
      </c>
      <c r="D45" s="16" t="s">
        <v>248</v>
      </c>
      <c r="E45" s="17">
        <v>370000</v>
      </c>
      <c r="F45" s="54">
        <v>172</v>
      </c>
      <c r="G45" s="17">
        <v>500000</v>
      </c>
      <c r="H45" s="26" t="s">
        <v>160</v>
      </c>
      <c r="I45" s="4" t="str">
        <f>IF(J45=0,"On Hold","Approve")</f>
        <v>Approve</v>
      </c>
      <c r="J45" s="52">
        <v>1</v>
      </c>
    </row>
    <row r="46" spans="1:48">
      <c r="A46" s="14"/>
      <c r="B46" s="15" t="s">
        <v>1050</v>
      </c>
      <c r="C46" s="16" t="s">
        <v>167</v>
      </c>
      <c r="D46" s="16" t="s">
        <v>112</v>
      </c>
      <c r="E46" s="17">
        <v>43000</v>
      </c>
      <c r="F46" s="54">
        <v>174</v>
      </c>
      <c r="G46" s="17">
        <v>130000</v>
      </c>
      <c r="H46" s="26" t="s">
        <v>154</v>
      </c>
      <c r="I46" s="4" t="str">
        <f>IF(J46=0,"On Hold","Approve")</f>
        <v>Approve</v>
      </c>
      <c r="J46" s="52">
        <v>1</v>
      </c>
    </row>
    <row r="47" spans="1:48">
      <c r="A47" s="14"/>
      <c r="B47" s="15" t="s">
        <v>1048</v>
      </c>
      <c r="C47" s="16" t="s">
        <v>264</v>
      </c>
      <c r="D47" s="16" t="s">
        <v>249</v>
      </c>
      <c r="E47" s="17">
        <v>235000</v>
      </c>
      <c r="F47" s="54">
        <v>127</v>
      </c>
      <c r="G47" s="17">
        <v>300000</v>
      </c>
      <c r="H47" s="26" t="s">
        <v>154</v>
      </c>
      <c r="I47" s="4" t="str">
        <f>IF(J47=0,"On Hold","Approve")</f>
        <v>Approve</v>
      </c>
      <c r="J47" s="52">
        <v>1</v>
      </c>
    </row>
    <row r="48" spans="1:48">
      <c r="A48" s="14"/>
      <c r="B48" s="15" t="s">
        <v>1049</v>
      </c>
      <c r="C48" s="16" t="s">
        <v>159</v>
      </c>
      <c r="D48" s="47" t="s">
        <v>112</v>
      </c>
      <c r="E48" s="17">
        <v>137000</v>
      </c>
      <c r="F48" s="54">
        <v>176</v>
      </c>
      <c r="G48" s="17">
        <v>298000</v>
      </c>
      <c r="H48" s="26" t="s">
        <v>154</v>
      </c>
      <c r="I48" s="4" t="str">
        <f>IF(J48=0,"On Hold","Approve")</f>
        <v>Approve</v>
      </c>
      <c r="J48" s="52">
        <v>1</v>
      </c>
    </row>
    <row r="49" spans="1:10">
      <c r="A49" s="14"/>
      <c r="B49" s="15"/>
      <c r="C49" s="16"/>
      <c r="D49" s="16"/>
      <c r="E49" s="17"/>
      <c r="F49" s="17"/>
      <c r="G49" s="17"/>
      <c r="H49" s="17"/>
      <c r="I49" s="17"/>
      <c r="J49" s="48"/>
    </row>
    <row r="50" spans="1:10">
      <c r="A50" s="14"/>
      <c r="B50" s="15"/>
      <c r="C50" s="16"/>
      <c r="D50" s="16"/>
      <c r="E50" s="17"/>
      <c r="F50" s="17"/>
      <c r="G50" s="17"/>
      <c r="H50" s="17"/>
      <c r="I50" s="17"/>
      <c r="J50" s="49"/>
    </row>
    <row r="51" spans="1:10">
      <c r="A51" s="14"/>
      <c r="B51" s="15"/>
      <c r="C51" s="16"/>
      <c r="D51" s="16"/>
      <c r="E51" s="17"/>
      <c r="F51" s="17"/>
      <c r="G51" s="17"/>
      <c r="H51" s="17"/>
      <c r="I51" s="17"/>
      <c r="J51" s="49"/>
    </row>
    <row r="52" spans="1:10">
      <c r="A52" s="14"/>
      <c r="B52" s="15"/>
      <c r="C52" s="16"/>
      <c r="D52" s="16"/>
      <c r="E52" s="17"/>
      <c r="F52" s="17"/>
      <c r="G52" s="17"/>
      <c r="H52" s="17"/>
      <c r="I52" s="17"/>
      <c r="J52" s="49"/>
    </row>
    <row r="53" spans="1:10">
      <c r="A53" s="14"/>
      <c r="B53" s="15"/>
      <c r="C53" s="16"/>
      <c r="D53" s="16"/>
      <c r="E53" s="17"/>
      <c r="F53" s="17"/>
      <c r="G53" s="17"/>
      <c r="H53" s="17"/>
      <c r="I53" s="17"/>
      <c r="J53" s="49"/>
    </row>
    <row r="54" spans="1:10">
      <c r="A54" s="14"/>
      <c r="B54" s="15"/>
      <c r="C54" s="16"/>
      <c r="D54" s="16"/>
      <c r="E54" s="17"/>
      <c r="F54" s="17"/>
      <c r="G54" s="17"/>
      <c r="H54" s="17"/>
      <c r="I54" s="17"/>
      <c r="J54" s="49"/>
    </row>
    <row r="55" spans="1:10">
      <c r="A55" s="14"/>
      <c r="B55" s="15"/>
      <c r="C55" s="16"/>
      <c r="D55" s="16"/>
      <c r="E55" s="17"/>
      <c r="F55" s="17"/>
      <c r="G55" s="17"/>
      <c r="H55" s="17"/>
      <c r="I55" s="17"/>
      <c r="J55" s="49"/>
    </row>
    <row r="56" spans="1:10">
      <c r="A56" s="14"/>
      <c r="B56" s="15"/>
      <c r="C56" s="16"/>
      <c r="D56" s="16"/>
      <c r="E56" s="17"/>
      <c r="F56" s="17"/>
      <c r="G56" s="17"/>
      <c r="H56" s="17"/>
      <c r="I56" s="17"/>
      <c r="J56" s="49"/>
    </row>
    <row r="57" spans="1:10">
      <c r="A57" s="14"/>
      <c r="B57" s="15"/>
      <c r="C57" s="16"/>
      <c r="D57" s="16"/>
      <c r="E57" s="17"/>
      <c r="F57" s="17"/>
      <c r="G57" s="17"/>
      <c r="H57" s="17"/>
      <c r="I57" s="17"/>
      <c r="J57" s="49"/>
    </row>
    <row r="58" spans="1:10">
      <c r="A58" s="14"/>
      <c r="B58" s="15"/>
      <c r="C58" s="16"/>
      <c r="D58" s="16"/>
      <c r="E58" s="17"/>
      <c r="F58" s="17"/>
      <c r="G58" s="17"/>
      <c r="H58" s="17"/>
      <c r="I58" s="17"/>
      <c r="J58" s="49"/>
    </row>
    <row r="59" spans="1:10">
      <c r="A59" s="14"/>
      <c r="B59" s="15"/>
      <c r="C59" s="16"/>
      <c r="D59" s="16"/>
      <c r="E59" s="17"/>
      <c r="F59" s="17"/>
      <c r="G59" s="17"/>
      <c r="H59" s="17"/>
      <c r="I59" s="17"/>
      <c r="J59" s="49"/>
    </row>
    <row r="60" spans="1:10">
      <c r="A60" s="14"/>
      <c r="B60" s="15"/>
      <c r="C60" s="16"/>
      <c r="D60" s="16"/>
      <c r="E60" s="17"/>
      <c r="F60" s="17"/>
      <c r="G60" s="17"/>
      <c r="H60" s="17"/>
      <c r="I60" s="17"/>
      <c r="J60" s="49"/>
    </row>
    <row r="61" spans="1:10">
      <c r="A61" s="14"/>
      <c r="B61" s="15"/>
      <c r="C61" s="16"/>
      <c r="D61" s="16"/>
      <c r="E61" s="17"/>
      <c r="F61" s="17"/>
      <c r="G61" s="17"/>
      <c r="H61" s="17"/>
      <c r="I61" s="17"/>
      <c r="J61" s="49"/>
    </row>
    <row r="62" spans="1:10">
      <c r="A62" s="14"/>
      <c r="B62" s="15"/>
      <c r="J62" s="49"/>
    </row>
    <row r="63" spans="1:10">
      <c r="A63" s="14"/>
      <c r="B63" s="15"/>
      <c r="J63" s="49"/>
    </row>
    <row r="64" spans="1:10">
      <c r="A64" s="14"/>
      <c r="B64" s="15"/>
    </row>
    <row r="65" spans="1:2">
      <c r="A65" s="14"/>
      <c r="B65" s="15"/>
    </row>
    <row r="66" spans="1:2">
      <c r="A66" s="14"/>
      <c r="B66" s="15"/>
    </row>
    <row r="67" spans="1:2">
      <c r="A67" s="14"/>
      <c r="B67" s="15"/>
    </row>
    <row r="68" spans="1:2">
      <c r="A68" s="14"/>
      <c r="B68" s="15"/>
    </row>
    <row r="69" spans="1:2">
      <c r="A69" s="14"/>
      <c r="B69" s="15"/>
    </row>
    <row r="70" spans="1:2">
      <c r="A70" s="14"/>
      <c r="B70" s="15"/>
    </row>
    <row r="71" spans="1:2">
      <c r="A71" s="14"/>
      <c r="B71" s="15"/>
    </row>
    <row r="72" spans="1:2">
      <c r="A72" s="14"/>
      <c r="B72" s="15"/>
    </row>
    <row r="73" spans="1:2">
      <c r="A73" s="14"/>
      <c r="B73" s="15"/>
    </row>
    <row r="74" spans="1:2">
      <c r="A74" s="14"/>
      <c r="B74" s="15"/>
    </row>
    <row r="75" spans="1:2">
      <c r="A75" s="14"/>
      <c r="B75" s="15"/>
    </row>
    <row r="76" spans="1:2">
      <c r="A76" s="14"/>
      <c r="B76" s="15"/>
    </row>
    <row r="77" spans="1:2">
      <c r="A77" s="14"/>
      <c r="B77" s="15"/>
    </row>
    <row r="78" spans="1:2">
      <c r="A78" s="14"/>
      <c r="B78" s="15"/>
    </row>
    <row r="79" spans="1:2">
      <c r="A79" s="14"/>
      <c r="B79" s="15"/>
    </row>
    <row r="80" spans="1:2">
      <c r="A80" s="14"/>
      <c r="B80" s="15"/>
    </row>
    <row r="81" spans="1:2">
      <c r="A81" s="14"/>
      <c r="B81" s="15"/>
    </row>
    <row r="82" spans="1:2">
      <c r="A82" s="14"/>
      <c r="B82" s="15"/>
    </row>
    <row r="83" spans="1:2">
      <c r="A83" s="14"/>
      <c r="B83" s="15"/>
    </row>
    <row r="84" spans="1:2">
      <c r="A84" s="14"/>
      <c r="B84" s="15"/>
    </row>
    <row r="85" spans="1:2">
      <c r="A85" s="14"/>
      <c r="B85" s="15"/>
    </row>
    <row r="86" spans="1:2">
      <c r="A86" s="14"/>
      <c r="B86" s="15"/>
    </row>
    <row r="87" spans="1:2">
      <c r="A87" s="14"/>
      <c r="B87" s="15"/>
    </row>
    <row r="88" spans="1:2">
      <c r="A88" s="14"/>
      <c r="B88" s="15"/>
    </row>
    <row r="89" spans="1:2">
      <c r="A89" s="14"/>
      <c r="B89" s="15"/>
    </row>
    <row r="90" spans="1:2">
      <c r="A90" s="14"/>
      <c r="B90" s="15"/>
    </row>
    <row r="91" spans="1:2">
      <c r="A91" s="14"/>
      <c r="B91" s="15"/>
    </row>
    <row r="92" spans="1:2">
      <c r="A92" s="14"/>
      <c r="B92" s="15"/>
    </row>
    <row r="93" spans="1:2">
      <c r="A93" s="14"/>
      <c r="B93" s="15"/>
    </row>
    <row r="94" spans="1:2">
      <c r="A94" s="14"/>
      <c r="B94" s="15"/>
    </row>
    <row r="95" spans="1:2">
      <c r="A95" s="14"/>
      <c r="B95" s="15"/>
    </row>
    <row r="96" spans="1:2">
      <c r="A96" s="14"/>
      <c r="B96" s="15"/>
    </row>
    <row r="97" spans="1:2">
      <c r="A97" s="14"/>
      <c r="B97" s="15"/>
    </row>
    <row r="98" spans="1:2">
      <c r="A98" s="14"/>
      <c r="B98" s="15"/>
    </row>
    <row r="99" spans="1:2">
      <c r="A99" s="14"/>
      <c r="B99" s="15"/>
    </row>
    <row r="100" spans="1:2">
      <c r="A100" s="14"/>
      <c r="B100" s="15"/>
    </row>
    <row r="101" spans="1:2">
      <c r="A101" s="14"/>
      <c r="B101" s="15"/>
    </row>
    <row r="102" spans="1:2">
      <c r="A102" s="14"/>
      <c r="B102" s="15"/>
    </row>
    <row r="103" spans="1:2">
      <c r="A103" s="14"/>
      <c r="B103" s="15"/>
    </row>
    <row r="104" spans="1:2">
      <c r="A104" s="14"/>
      <c r="B104" s="15"/>
    </row>
    <row r="105" spans="1:2">
      <c r="A105" s="14"/>
      <c r="B105" s="15"/>
    </row>
    <row r="106" spans="1:2">
      <c r="A106" s="14"/>
      <c r="B106" s="15"/>
    </row>
    <row r="107" spans="1:2">
      <c r="A107" s="14"/>
      <c r="B107" s="15"/>
    </row>
    <row r="108" spans="1:2">
      <c r="A108" s="14"/>
      <c r="B108" s="15"/>
    </row>
    <row r="109" spans="1:2">
      <c r="A109" s="14"/>
      <c r="B109" s="15"/>
    </row>
    <row r="110" spans="1:2">
      <c r="A110" s="14"/>
      <c r="B110" s="15"/>
    </row>
    <row r="111" spans="1:2">
      <c r="A111" s="14"/>
      <c r="B111" s="15"/>
    </row>
    <row r="112" spans="1:2">
      <c r="A112" s="14"/>
      <c r="B112" s="15"/>
    </row>
    <row r="113" spans="2:2">
      <c r="B113" s="15"/>
    </row>
    <row r="114" spans="2:2">
      <c r="B114" s="15"/>
    </row>
    <row r="115" spans="2:2">
      <c r="B115" s="15"/>
    </row>
    <row r="116" spans="2:2">
      <c r="B116" s="15"/>
    </row>
    <row r="117" spans="2:2">
      <c r="B117" s="15"/>
    </row>
    <row r="118" spans="2:2">
      <c r="B118" s="15"/>
    </row>
    <row r="119" spans="2:2">
      <c r="B119" s="15"/>
    </row>
    <row r="120" spans="2:2">
      <c r="B120" s="15"/>
    </row>
    <row r="121" spans="2:2">
      <c r="B121" s="15"/>
    </row>
    <row r="122" spans="2:2">
      <c r="B122" s="15"/>
    </row>
    <row r="123" spans="2:2">
      <c r="B123" s="15"/>
    </row>
    <row r="124" spans="2:2">
      <c r="B124" s="15"/>
    </row>
    <row r="125" spans="2:2">
      <c r="B125" s="15"/>
    </row>
    <row r="126" spans="2:2">
      <c r="B126" s="15"/>
    </row>
    <row r="127" spans="2:2">
      <c r="B127" s="15"/>
    </row>
    <row r="128" spans="2:2">
      <c r="B128" s="15"/>
    </row>
    <row r="129" spans="2:2">
      <c r="B129" s="15"/>
    </row>
    <row r="130" spans="2:2">
      <c r="B130" s="15"/>
    </row>
    <row r="131" spans="2:2">
      <c r="B131" s="15"/>
    </row>
    <row r="132" spans="2:2">
      <c r="B132" s="15"/>
    </row>
    <row r="133" spans="2:2">
      <c r="B133" s="15"/>
    </row>
    <row r="134" spans="2:2">
      <c r="B134" s="15"/>
    </row>
    <row r="135" spans="2:2">
      <c r="B135" s="15"/>
    </row>
  </sheetData>
  <scenarios current="3" show="1">
    <scenario name="BudgetOnly1" locked="1" count="18" user="dave hammal" comment="Created by dave hammal on 07/09/2015">
      <inputCells r="J13" val="0"/>
      <inputCells r="J14" val="1"/>
      <inputCells r="J15" val="1"/>
      <inputCells r="J16" val="0"/>
      <inputCells r="J17" val="1"/>
      <inputCells r="J18" val="0"/>
      <inputCells r="J19" val="0"/>
      <inputCells r="J20" val="0"/>
      <inputCells r="J21" val="0"/>
      <inputCells r="J22" val="1"/>
      <inputCells r="J23" val="1"/>
      <inputCells r="J24" val="1"/>
      <inputCells r="J25" val="0"/>
      <inputCells r="J26" val="0"/>
      <inputCells r="J27" val="1"/>
      <inputCells r="J28" val="0"/>
      <inputCells r="J29" val="1"/>
      <inputCells r="J30" val="0"/>
    </scenario>
    <scenario name="BudgetOnly2" locked="1" count="18" user="dave hammal" comment="Created by dave hammal on 07/09/2015">
      <inputCells r="J31" val="0"/>
      <inputCells r="J32" val="1"/>
      <inputCells r="J33" val="0"/>
      <inputCells r="J34" val="0"/>
      <inputCells r="J35" val="1"/>
      <inputCells r="J36" val="1"/>
      <inputCells r="J37" val="1"/>
      <inputCells r="J38" val="1"/>
      <inputCells r="J39" val="1"/>
      <inputCells r="J40" val="1"/>
      <inputCells r="J41" val="1"/>
      <inputCells r="J42" val="1"/>
      <inputCells r="J43" val="1"/>
      <inputCells r="J44" val="1"/>
      <inputCells r="J45" val="1"/>
      <inputCells r="J46" val="1"/>
      <inputCells r="J47" val="0"/>
      <inputCells r="J48" val="1"/>
    </scenario>
    <scenario name="PlusResource1" locked="1" count="18" user="dave hammal" comment="Created by dave hammal on 07/09/2015">
      <inputCells r="J13" val="0"/>
      <inputCells r="J14" val="1"/>
      <inputCells r="J15" val="1"/>
      <inputCells r="J16" val="0"/>
      <inputCells r="J17" val="1"/>
      <inputCells r="J18" val="0"/>
      <inputCells r="J19" val="0"/>
      <inputCells r="J20" val="0"/>
      <inputCells r="J21" val="0"/>
      <inputCells r="J22" val="0"/>
      <inputCells r="J23" val="1"/>
      <inputCells r="J24" val="1"/>
      <inputCells r="J25" val="0"/>
      <inputCells r="J26" val="0"/>
      <inputCells r="J27" val="1"/>
      <inputCells r="J28" val="0"/>
      <inputCells r="J29" val="1"/>
      <inputCells r="J30" val="0"/>
    </scenario>
    <scenario name="PlusResource2" locked="1" count="18" user="dave hammal" comment="Created by dave hammal on 07/09/2015">
      <inputCells r="J31" val="0"/>
      <inputCells r="J32" val="0"/>
      <inputCells r="J33" val="1"/>
      <inputCells r="J34" val="0"/>
      <inputCells r="J35" val="1"/>
      <inputCells r="J36" val="1"/>
      <inputCells r="J37" val="1"/>
      <inputCells r="J38" val="1"/>
      <inputCells r="J39" val="0"/>
      <inputCells r="J40" val="1"/>
      <inputCells r="J41" val="0"/>
      <inputCells r="J42" val="1"/>
      <inputCells r="J43" val="1"/>
      <inputCells r="J44" val="1"/>
      <inputCells r="J45" val="1"/>
      <inputCells r="J46" val="1"/>
      <inputCells r="J47" val="1"/>
      <inputCells r="J48" val="1"/>
    </scenario>
  </scenarios>
  <mergeCells count="1">
    <mergeCell ref="B11:J11"/>
  </mergeCells>
  <conditionalFormatting sqref="E13:H61">
    <cfRule type="expression" dxfId="5" priority="17" stopIfTrue="1">
      <formula>$J13=0</formula>
    </cfRule>
  </conditionalFormatting>
  <conditionalFormatting sqref="J13:J49">
    <cfRule type="iconSet" priority="11">
      <iconSet iconSet="3Symbols">
        <cfvo type="percent" val="0"/>
        <cfvo type="num" val="0.5"/>
        <cfvo type="num" val="1"/>
      </iconSet>
    </cfRule>
  </conditionalFormatting>
  <conditionalFormatting sqref="D6:F6">
    <cfRule type="cellIs" dxfId="4" priority="10" stopIfTrue="1" operator="lessThanOrEqual">
      <formula>0</formula>
    </cfRule>
  </conditionalFormatting>
  <conditionalFormatting sqref="D6:F6">
    <cfRule type="cellIs" dxfId="3" priority="8" stopIfTrue="1" operator="greaterThan">
      <formula>0</formula>
    </cfRule>
  </conditionalFormatting>
  <conditionalFormatting sqref="E13:H35">
    <cfRule type="expression" dxfId="2" priority="7" stopIfTrue="1">
      <formula>$J13=0</formula>
    </cfRule>
  </conditionalFormatting>
  <conditionalFormatting sqref="J49">
    <cfRule type="iconSet" priority="3">
      <iconSet iconSet="3Symbols">
        <cfvo type="percent" val="0"/>
        <cfvo type="num" val="0.5"/>
        <cfvo type="num" val="1"/>
      </iconSet>
    </cfRule>
  </conditionalFormatting>
  <conditionalFormatting sqref="D9:E9">
    <cfRule type="cellIs" dxfId="1" priority="2" stopIfTrue="1" operator="lessThanOrEqual">
      <formula>0</formula>
    </cfRule>
  </conditionalFormatting>
  <conditionalFormatting sqref="D9:E9">
    <cfRule type="cellIs" dxfId="0" priority="1" stopIfTrue="1" operator="greaterThan">
      <formula>0</formula>
    </cfRule>
  </conditionalFormatting>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
  <dimension ref="A1:J74"/>
  <sheetViews>
    <sheetView workbookViewId="0">
      <selection activeCell="D2" sqref="D2"/>
    </sheetView>
  </sheetViews>
  <sheetFormatPr defaultRowHeight="12.75"/>
  <cols>
    <col min="1" max="1" width="13.7109375" bestFit="1" customWidth="1"/>
    <col min="7" max="7" width="15.42578125" bestFit="1" customWidth="1"/>
    <col min="8" max="8" width="10.5703125" bestFit="1" customWidth="1"/>
    <col min="9" max="9" width="10.85546875" bestFit="1" customWidth="1"/>
    <col min="10" max="10" width="9.42578125" bestFit="1" customWidth="1"/>
  </cols>
  <sheetData>
    <row r="1" spans="1:10">
      <c r="A1" t="s">
        <v>136</v>
      </c>
      <c r="B1" t="s">
        <v>301</v>
      </c>
      <c r="C1" t="s">
        <v>302</v>
      </c>
      <c r="D1" t="s">
        <v>303</v>
      </c>
      <c r="I1" s="31"/>
      <c r="J1" s="31"/>
    </row>
    <row r="2" spans="1:10">
      <c r="A2" s="16" t="s">
        <v>561</v>
      </c>
      <c r="B2">
        <f>COUNTIFS(Model!I:I,1,Model!D:D,A2)</f>
        <v>0</v>
      </c>
      <c r="C2" s="10" t="e">
        <f>B2/SUM(B:B)</f>
        <v>#DIV/0!</v>
      </c>
      <c r="D2" s="10" t="str">
        <f>A2&amp;"- "&amp;B2</f>
        <v>Finance- 0</v>
      </c>
    </row>
    <row r="3" spans="1:10">
      <c r="A3" s="16" t="s">
        <v>248</v>
      </c>
      <c r="B3">
        <f>COUNTIFS(Model!I:I,1,Model!D:D,A3)</f>
        <v>0</v>
      </c>
      <c r="C3" s="10" t="e">
        <f t="shared" ref="C3:C6" si="0">B3/SUM(B:B)</f>
        <v>#DIV/0!</v>
      </c>
      <c r="D3" s="10" t="str">
        <f t="shared" ref="D3:D6" si="1">A3&amp;"- "&amp;B3</f>
        <v>Sales- 0</v>
      </c>
    </row>
    <row r="4" spans="1:10">
      <c r="A4" s="16" t="s">
        <v>249</v>
      </c>
      <c r="B4">
        <f>COUNTIFS(Model!I:I,1,Model!D:D,A4)</f>
        <v>0</v>
      </c>
      <c r="C4" s="10" t="e">
        <f t="shared" si="0"/>
        <v>#DIV/0!</v>
      </c>
      <c r="D4" s="10" t="str">
        <f t="shared" si="1"/>
        <v>Corporate- 0</v>
      </c>
    </row>
    <row r="5" spans="1:10">
      <c r="A5" s="16" t="s">
        <v>532</v>
      </c>
      <c r="B5">
        <f>COUNTIFS(Model!I:I,1,Model!D:D,A5)</f>
        <v>0</v>
      </c>
      <c r="C5" s="10" t="e">
        <f t="shared" si="0"/>
        <v>#DIV/0!</v>
      </c>
      <c r="D5" s="10" t="str">
        <f t="shared" si="1"/>
        <v>Engineering- 0</v>
      </c>
    </row>
    <row r="6" spans="1:10">
      <c r="A6" s="16" t="s">
        <v>112</v>
      </c>
      <c r="B6">
        <f>COUNTIFS(Model!I:I,1,Model!D:D,A6)</f>
        <v>0</v>
      </c>
      <c r="C6" s="10" t="e">
        <f t="shared" si="0"/>
        <v>#DIV/0!</v>
      </c>
      <c r="D6" s="10" t="str">
        <f t="shared" si="1"/>
        <v>Operations- 0</v>
      </c>
    </row>
    <row r="7" spans="1:10">
      <c r="A7" s="47" t="s">
        <v>575</v>
      </c>
      <c r="B7">
        <f>COUNTIFS(Model!J:J,1,Model!D:D,A7)</f>
        <v>0</v>
      </c>
      <c r="C7" s="10" t="e">
        <f t="shared" ref="C7" si="2">B7/SUM(B:B)</f>
        <v>#DIV/0!</v>
      </c>
      <c r="D7" s="10" t="str">
        <f t="shared" ref="D7" si="3">A7&amp;"- "&amp;B7</f>
        <v>External- 0</v>
      </c>
    </row>
    <row r="8" spans="1:10">
      <c r="C8" s="10"/>
      <c r="D8" s="10"/>
    </row>
    <row r="9" spans="1:10">
      <c r="C9" s="10"/>
      <c r="D9" s="10"/>
    </row>
    <row r="10" spans="1:10">
      <c r="C10" s="10"/>
      <c r="D10" s="10"/>
    </row>
    <row r="11" spans="1:10">
      <c r="C11" s="10"/>
      <c r="D11" s="10"/>
    </row>
    <row r="38" spans="1:1">
      <c r="A38" s="16"/>
    </row>
    <row r="39" spans="1:1">
      <c r="A39" s="16"/>
    </row>
    <row r="40" spans="1:1">
      <c r="A40" s="16"/>
    </row>
    <row r="41" spans="1:1">
      <c r="A41" s="16"/>
    </row>
    <row r="42" spans="1:1">
      <c r="A42" s="16"/>
    </row>
    <row r="43" spans="1:1">
      <c r="A43" s="16"/>
    </row>
    <row r="44" spans="1:1">
      <c r="A44" s="16"/>
    </row>
    <row r="45" spans="1:1">
      <c r="A45" s="16"/>
    </row>
    <row r="46" spans="1:1">
      <c r="A46" s="16"/>
    </row>
    <row r="47" spans="1:1">
      <c r="A47" s="16"/>
    </row>
    <row r="48" spans="1:1">
      <c r="A48" s="16"/>
    </row>
    <row r="49" spans="1:1">
      <c r="A49" s="16"/>
    </row>
    <row r="50" spans="1:1">
      <c r="A50" s="16"/>
    </row>
    <row r="51" spans="1:1">
      <c r="A51" s="16"/>
    </row>
    <row r="52" spans="1:1">
      <c r="A52" s="16"/>
    </row>
    <row r="53" spans="1:1">
      <c r="A53" s="16"/>
    </row>
    <row r="54" spans="1:1">
      <c r="A54" s="16"/>
    </row>
    <row r="55" spans="1:1">
      <c r="A55" s="16"/>
    </row>
    <row r="56" spans="1:1">
      <c r="A56" s="16"/>
    </row>
    <row r="57" spans="1:1">
      <c r="A57" s="16"/>
    </row>
    <row r="58" spans="1:1">
      <c r="A58" s="16"/>
    </row>
    <row r="59" spans="1:1">
      <c r="A59" s="16"/>
    </row>
    <row r="60" spans="1:1">
      <c r="A60" s="16"/>
    </row>
    <row r="61" spans="1:1">
      <c r="A61" s="16"/>
    </row>
    <row r="62" spans="1:1">
      <c r="A62" s="16"/>
    </row>
    <row r="63" spans="1:1">
      <c r="A63" s="16"/>
    </row>
    <row r="64" spans="1:1">
      <c r="A64" s="16"/>
    </row>
    <row r="65" spans="1:1">
      <c r="A65" s="16"/>
    </row>
    <row r="66" spans="1:1">
      <c r="A66" s="16"/>
    </row>
    <row r="67" spans="1:1">
      <c r="A67" s="16"/>
    </row>
    <row r="68" spans="1:1">
      <c r="A68" s="16"/>
    </row>
    <row r="69" spans="1:1">
      <c r="A69" s="16"/>
    </row>
    <row r="70" spans="1:1">
      <c r="A70" s="16"/>
    </row>
    <row r="71" spans="1:1">
      <c r="A71" s="16"/>
    </row>
    <row r="72" spans="1:1">
      <c r="A72" s="16"/>
    </row>
    <row r="73" spans="1:1">
      <c r="A73" s="16"/>
    </row>
    <row r="74" spans="1:1">
      <c r="A74" s="1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5"/>
  <dimension ref="A1:CK22"/>
  <sheetViews>
    <sheetView workbookViewId="0">
      <pane xSplit="2" ySplit="1" topLeftCell="C2" activePane="bottomRight" state="frozen"/>
      <selection pane="topRight" activeCell="C1" sqref="C1"/>
      <selection pane="bottomLeft" activeCell="A2" sqref="A2"/>
      <selection pane="bottomRight" activeCell="A23" sqref="A23"/>
    </sheetView>
  </sheetViews>
  <sheetFormatPr defaultRowHeight="12.75"/>
  <cols>
    <col min="2" max="2" width="24.85546875" bestFit="1" customWidth="1"/>
    <col min="7" max="7" width="15.28515625" bestFit="1" customWidth="1"/>
    <col min="8" max="8" width="22.28515625" bestFit="1" customWidth="1"/>
  </cols>
  <sheetData>
    <row r="1" spans="1:89">
      <c r="A1" t="s">
        <v>26</v>
      </c>
      <c r="B1" t="s">
        <v>0</v>
      </c>
      <c r="C1" t="s">
        <v>23</v>
      </c>
      <c r="D1" t="s">
        <v>1</v>
      </c>
      <c r="E1" t="s">
        <v>27</v>
      </c>
      <c r="F1" t="s">
        <v>28</v>
      </c>
      <c r="G1" t="s">
        <v>29</v>
      </c>
      <c r="H1" t="s">
        <v>507</v>
      </c>
      <c r="I1" t="s">
        <v>30</v>
      </c>
      <c r="J1" t="s">
        <v>31</v>
      </c>
      <c r="K1" t="s">
        <v>32</v>
      </c>
      <c r="L1" t="s">
        <v>508</v>
      </c>
      <c r="M1" t="s">
        <v>509</v>
      </c>
      <c r="N1" t="s">
        <v>510</v>
      </c>
      <c r="O1" t="s">
        <v>511</v>
      </c>
      <c r="P1" t="s">
        <v>106</v>
      </c>
      <c r="Q1" t="s">
        <v>107</v>
      </c>
      <c r="R1" t="s">
        <v>2</v>
      </c>
      <c r="S1" t="s">
        <v>33</v>
      </c>
      <c r="T1" t="s">
        <v>34</v>
      </c>
      <c r="U1" t="s">
        <v>35</v>
      </c>
      <c r="V1" t="s">
        <v>24</v>
      </c>
      <c r="W1" t="s">
        <v>36</v>
      </c>
      <c r="X1" t="s">
        <v>37</v>
      </c>
      <c r="Y1" t="s">
        <v>38</v>
      </c>
      <c r="Z1" t="s">
        <v>39</v>
      </c>
      <c r="AA1" t="s">
        <v>40</v>
      </c>
      <c r="AB1" t="s">
        <v>41</v>
      </c>
      <c r="AC1" t="s">
        <v>42</v>
      </c>
      <c r="AD1" t="s">
        <v>21</v>
      </c>
      <c r="AE1" t="s">
        <v>20</v>
      </c>
      <c r="AF1" t="s">
        <v>43</v>
      </c>
      <c r="AG1" t="s">
        <v>44</v>
      </c>
      <c r="AH1" t="s">
        <v>25</v>
      </c>
      <c r="AI1" t="s">
        <v>45</v>
      </c>
      <c r="AJ1" t="s">
        <v>108</v>
      </c>
      <c r="AK1" t="s">
        <v>512</v>
      </c>
      <c r="AL1" t="s">
        <v>513</v>
      </c>
      <c r="AM1" t="s">
        <v>514</v>
      </c>
      <c r="AN1" t="s">
        <v>515</v>
      </c>
      <c r="AO1" t="s">
        <v>516</v>
      </c>
      <c r="AP1" t="s">
        <v>46</v>
      </c>
      <c r="AQ1" t="s">
        <v>47</v>
      </c>
      <c r="AR1" t="s">
        <v>48</v>
      </c>
      <c r="AS1" t="s">
        <v>49</v>
      </c>
      <c r="AT1" t="s">
        <v>50</v>
      </c>
      <c r="AU1" t="s">
        <v>51</v>
      </c>
      <c r="AV1" t="s">
        <v>52</v>
      </c>
      <c r="AW1" t="s">
        <v>53</v>
      </c>
      <c r="AX1" t="s">
        <v>54</v>
      </c>
      <c r="AY1" t="s">
        <v>55</v>
      </c>
      <c r="AZ1" t="s">
        <v>56</v>
      </c>
      <c r="BA1" t="s">
        <v>57</v>
      </c>
      <c r="BB1" t="s">
        <v>58</v>
      </c>
      <c r="BC1" t="s">
        <v>59</v>
      </c>
      <c r="BD1" t="s">
        <v>60</v>
      </c>
      <c r="BE1" t="s">
        <v>61</v>
      </c>
      <c r="BF1" t="s">
        <v>62</v>
      </c>
      <c r="BG1" t="s">
        <v>63</v>
      </c>
      <c r="BH1" t="s">
        <v>64</v>
      </c>
      <c r="BI1" t="s">
        <v>65</v>
      </c>
      <c r="BJ1" t="s">
        <v>66</v>
      </c>
      <c r="BK1" t="s">
        <v>67</v>
      </c>
      <c r="BL1" t="s">
        <v>68</v>
      </c>
      <c r="BM1" t="s">
        <v>517</v>
      </c>
      <c r="BN1" t="s">
        <v>22</v>
      </c>
      <c r="BO1" t="s">
        <v>1051</v>
      </c>
      <c r="BP1" t="s">
        <v>1052</v>
      </c>
      <c r="BQ1" t="s">
        <v>1053</v>
      </c>
      <c r="BR1" t="s">
        <v>139</v>
      </c>
      <c r="BS1" t="s">
        <v>70</v>
      </c>
      <c r="BT1" t="s">
        <v>71</v>
      </c>
      <c r="BU1" t="s">
        <v>72</v>
      </c>
      <c r="BV1" t="s">
        <v>73</v>
      </c>
      <c r="BW1" t="s">
        <v>74</v>
      </c>
      <c r="BX1" t="s">
        <v>75</v>
      </c>
      <c r="BY1" t="s">
        <v>140</v>
      </c>
      <c r="BZ1" t="s">
        <v>1054</v>
      </c>
      <c r="CA1" t="s">
        <v>1055</v>
      </c>
      <c r="CB1" t="s">
        <v>1056</v>
      </c>
      <c r="CC1" t="s">
        <v>76</v>
      </c>
      <c r="CD1" t="s">
        <v>77</v>
      </c>
      <c r="CE1" t="s">
        <v>78</v>
      </c>
      <c r="CF1" t="s">
        <v>79</v>
      </c>
      <c r="CG1" t="s">
        <v>141</v>
      </c>
      <c r="CH1" t="s">
        <v>1057</v>
      </c>
      <c r="CI1" t="s">
        <v>1058</v>
      </c>
      <c r="CJ1" t="s">
        <v>1059</v>
      </c>
      <c r="CK1" s="53" t="s">
        <v>1137</v>
      </c>
    </row>
    <row r="2" spans="1:89">
      <c r="A2" t="s">
        <v>113</v>
      </c>
      <c r="B2" t="s">
        <v>123</v>
      </c>
      <c r="C2" t="s">
        <v>519</v>
      </c>
      <c r="D2" t="s">
        <v>6</v>
      </c>
      <c r="E2" s="1">
        <v>33.04</v>
      </c>
      <c r="F2" t="s">
        <v>80</v>
      </c>
      <c r="G2" t="s">
        <v>120</v>
      </c>
      <c r="H2" t="s">
        <v>520</v>
      </c>
      <c r="I2" t="s">
        <v>4</v>
      </c>
      <c r="J2" t="s">
        <v>521</v>
      </c>
      <c r="K2" t="s">
        <v>5</v>
      </c>
      <c r="L2" t="s">
        <v>528</v>
      </c>
      <c r="M2" t="s">
        <v>110</v>
      </c>
      <c r="N2" t="s">
        <v>561</v>
      </c>
      <c r="P2" t="s">
        <v>529</v>
      </c>
      <c r="R2" s="2">
        <v>41817</v>
      </c>
      <c r="U2" s="2">
        <v>42102</v>
      </c>
      <c r="V2" s="2">
        <v>42101</v>
      </c>
      <c r="W2" s="2">
        <v>41568</v>
      </c>
      <c r="X2" s="2">
        <v>41709</v>
      </c>
      <c r="Z2" s="2">
        <v>41908</v>
      </c>
      <c r="AA2" s="2">
        <v>42018</v>
      </c>
      <c r="AB2" t="s">
        <v>11</v>
      </c>
      <c r="AC2" s="2">
        <v>42012</v>
      </c>
      <c r="AD2" t="s">
        <v>18</v>
      </c>
      <c r="AE2" t="s">
        <v>83</v>
      </c>
      <c r="AF2" t="s">
        <v>82</v>
      </c>
      <c r="AG2" t="s">
        <v>83</v>
      </c>
      <c r="AH2" t="s">
        <v>546</v>
      </c>
      <c r="AJ2" s="3">
        <v>722000</v>
      </c>
      <c r="AK2" s="3">
        <v>563000</v>
      </c>
      <c r="AO2" s="3">
        <v>563000</v>
      </c>
      <c r="AQ2" t="s">
        <v>565</v>
      </c>
      <c r="AR2" t="s">
        <v>83</v>
      </c>
      <c r="AS2" t="s">
        <v>83</v>
      </c>
      <c r="AT2" s="2">
        <v>42005</v>
      </c>
      <c r="AU2" t="s">
        <v>82</v>
      </c>
      <c r="AV2" t="s">
        <v>83</v>
      </c>
      <c r="AW2" s="2">
        <v>41817</v>
      </c>
      <c r="AX2" t="s">
        <v>84</v>
      </c>
      <c r="AY2" t="s">
        <v>82</v>
      </c>
      <c r="BA2" t="s">
        <v>85</v>
      </c>
      <c r="BC2" t="s">
        <v>82</v>
      </c>
      <c r="BH2" s="2">
        <v>41936</v>
      </c>
      <c r="BI2" t="s">
        <v>86</v>
      </c>
      <c r="BJ2" t="s">
        <v>11</v>
      </c>
      <c r="BK2" t="s">
        <v>566</v>
      </c>
      <c r="BM2" t="s">
        <v>543</v>
      </c>
      <c r="BN2" t="s">
        <v>251</v>
      </c>
      <c r="BO2" s="3">
        <v>330628.65999999997</v>
      </c>
      <c r="BP2" t="s">
        <v>87</v>
      </c>
      <c r="BQ2" t="s">
        <v>1067</v>
      </c>
      <c r="BR2" t="s">
        <v>526</v>
      </c>
      <c r="BS2" t="s">
        <v>88</v>
      </c>
      <c r="BT2" t="s">
        <v>88</v>
      </c>
      <c r="BU2" t="s">
        <v>1060</v>
      </c>
      <c r="BV2" s="2">
        <v>41791</v>
      </c>
      <c r="BW2" s="2">
        <v>42886</v>
      </c>
      <c r="BX2" t="s">
        <v>1061</v>
      </c>
      <c r="BY2" t="s">
        <v>1062</v>
      </c>
      <c r="BZ2" s="3">
        <v>337108</v>
      </c>
      <c r="CA2" s="3">
        <v>0</v>
      </c>
      <c r="CB2" s="3">
        <v>337108</v>
      </c>
      <c r="CC2" t="s">
        <v>1060</v>
      </c>
      <c r="CD2" s="2">
        <v>41791</v>
      </c>
      <c r="CE2" s="2">
        <v>42886</v>
      </c>
      <c r="CF2" t="s">
        <v>1061</v>
      </c>
      <c r="CG2" t="s">
        <v>1062</v>
      </c>
      <c r="CH2" s="3">
        <v>337108</v>
      </c>
      <c r="CI2" s="3">
        <v>0</v>
      </c>
      <c r="CJ2" s="3">
        <v>337108</v>
      </c>
      <c r="CK2" s="53">
        <v>125</v>
      </c>
    </row>
    <row r="3" spans="1:89">
      <c r="A3" t="s">
        <v>567</v>
      </c>
      <c r="B3" t="s">
        <v>117</v>
      </c>
      <c r="C3" t="s">
        <v>519</v>
      </c>
      <c r="D3" t="s">
        <v>6</v>
      </c>
      <c r="E3" s="1">
        <v>43</v>
      </c>
      <c r="F3" t="s">
        <v>1068</v>
      </c>
      <c r="G3" t="s">
        <v>557</v>
      </c>
      <c r="H3" t="s">
        <v>520</v>
      </c>
      <c r="I3" t="s">
        <v>4</v>
      </c>
      <c r="J3" t="s">
        <v>521</v>
      </c>
      <c r="K3" t="s">
        <v>5</v>
      </c>
      <c r="L3" t="s">
        <v>112</v>
      </c>
      <c r="N3" t="s">
        <v>561</v>
      </c>
      <c r="P3" t="s">
        <v>529</v>
      </c>
      <c r="R3" s="2">
        <v>41932</v>
      </c>
      <c r="U3" s="2">
        <v>42207</v>
      </c>
      <c r="V3" s="2">
        <v>42165</v>
      </c>
      <c r="W3" s="2">
        <v>41646</v>
      </c>
      <c r="X3" s="2">
        <v>41725</v>
      </c>
      <c r="Z3" s="2">
        <v>41813</v>
      </c>
      <c r="AA3" s="2">
        <v>42018</v>
      </c>
      <c r="AB3" t="s">
        <v>11</v>
      </c>
      <c r="AC3" s="2">
        <v>42013</v>
      </c>
      <c r="AD3" t="s">
        <v>18</v>
      </c>
      <c r="AE3" t="s">
        <v>83</v>
      </c>
      <c r="AF3" t="s">
        <v>82</v>
      </c>
      <c r="AG3" t="s">
        <v>83</v>
      </c>
      <c r="AH3" t="s">
        <v>523</v>
      </c>
      <c r="AJ3" s="3">
        <v>500000</v>
      </c>
      <c r="AK3" s="3">
        <v>370000</v>
      </c>
      <c r="AO3" s="3">
        <v>370000</v>
      </c>
      <c r="AQ3" t="s">
        <v>568</v>
      </c>
      <c r="AR3" t="s">
        <v>83</v>
      </c>
      <c r="AS3" t="s">
        <v>83</v>
      </c>
      <c r="AT3" s="2">
        <v>42005</v>
      </c>
      <c r="AU3" t="s">
        <v>82</v>
      </c>
      <c r="AV3" t="s">
        <v>83</v>
      </c>
      <c r="AW3" s="2">
        <v>41932</v>
      </c>
      <c r="AX3" t="s">
        <v>84</v>
      </c>
      <c r="AY3" t="s">
        <v>82</v>
      </c>
      <c r="BA3" t="s">
        <v>85</v>
      </c>
      <c r="BC3" t="s">
        <v>82</v>
      </c>
      <c r="BH3" s="2">
        <v>41938</v>
      </c>
      <c r="BI3" t="s">
        <v>86</v>
      </c>
      <c r="BJ3" t="s">
        <v>11</v>
      </c>
      <c r="BK3" t="s">
        <v>1069</v>
      </c>
      <c r="BM3" t="s">
        <v>543</v>
      </c>
      <c r="BN3" t="s">
        <v>251</v>
      </c>
      <c r="BO3" s="3">
        <v>130744.73</v>
      </c>
      <c r="BP3" t="s">
        <v>87</v>
      </c>
      <c r="BQ3" t="s">
        <v>1070</v>
      </c>
      <c r="BR3" t="s">
        <v>526</v>
      </c>
      <c r="BS3" t="s">
        <v>88</v>
      </c>
      <c r="BT3" t="s">
        <v>88</v>
      </c>
      <c r="BU3" t="s">
        <v>1060</v>
      </c>
      <c r="BV3" s="2">
        <v>41913</v>
      </c>
      <c r="BW3" s="2">
        <v>43008</v>
      </c>
      <c r="BX3" t="s">
        <v>1061</v>
      </c>
      <c r="BY3" t="s">
        <v>1062</v>
      </c>
      <c r="BZ3" s="3">
        <v>132400</v>
      </c>
      <c r="CA3" s="3">
        <v>200000</v>
      </c>
      <c r="CB3" s="3">
        <v>132400</v>
      </c>
      <c r="CC3" t="s">
        <v>1060</v>
      </c>
      <c r="CD3" s="2">
        <v>41913</v>
      </c>
      <c r="CE3" s="2">
        <v>43008</v>
      </c>
      <c r="CF3" t="s">
        <v>1061</v>
      </c>
      <c r="CG3" t="s">
        <v>1062</v>
      </c>
      <c r="CH3" s="3">
        <v>132400</v>
      </c>
      <c r="CI3" s="3">
        <v>200000</v>
      </c>
      <c r="CJ3" s="3">
        <v>132400</v>
      </c>
      <c r="CK3" s="53">
        <v>105</v>
      </c>
    </row>
    <row r="4" spans="1:89">
      <c r="A4" t="s">
        <v>569</v>
      </c>
      <c r="B4" t="s">
        <v>133</v>
      </c>
      <c r="C4" t="s">
        <v>519</v>
      </c>
      <c r="D4" t="s">
        <v>6</v>
      </c>
      <c r="E4" s="1">
        <v>65.62</v>
      </c>
      <c r="F4" t="s">
        <v>80</v>
      </c>
      <c r="G4" t="s">
        <v>531</v>
      </c>
      <c r="H4" t="s">
        <v>520</v>
      </c>
      <c r="I4" t="s">
        <v>4</v>
      </c>
      <c r="J4" t="s">
        <v>521</v>
      </c>
      <c r="K4" t="s">
        <v>5</v>
      </c>
      <c r="L4" t="s">
        <v>528</v>
      </c>
      <c r="M4" t="s">
        <v>110</v>
      </c>
      <c r="N4" t="s">
        <v>248</v>
      </c>
      <c r="P4" t="s">
        <v>570</v>
      </c>
      <c r="Q4" t="s">
        <v>135</v>
      </c>
      <c r="R4" s="2">
        <v>41841</v>
      </c>
      <c r="U4" s="2">
        <v>42095</v>
      </c>
      <c r="V4" s="2">
        <v>42053</v>
      </c>
      <c r="W4" s="2">
        <v>41568</v>
      </c>
      <c r="X4" s="2">
        <v>41712</v>
      </c>
      <c r="Z4" s="2">
        <v>41733</v>
      </c>
      <c r="AA4" s="2">
        <v>42018</v>
      </c>
      <c r="AB4" t="s">
        <v>11</v>
      </c>
      <c r="AC4" s="2">
        <v>42012</v>
      </c>
      <c r="AD4" t="s">
        <v>18</v>
      </c>
      <c r="AE4" t="s">
        <v>83</v>
      </c>
      <c r="AF4" t="s">
        <v>82</v>
      </c>
      <c r="AG4" t="s">
        <v>83</v>
      </c>
      <c r="AH4" t="s">
        <v>546</v>
      </c>
      <c r="AJ4" s="3">
        <v>721000</v>
      </c>
      <c r="AK4" s="3">
        <v>536000</v>
      </c>
      <c r="AO4" s="3">
        <v>536000</v>
      </c>
      <c r="AQ4" t="s">
        <v>121</v>
      </c>
      <c r="AR4" t="s">
        <v>83</v>
      </c>
      <c r="AS4" t="s">
        <v>83</v>
      </c>
      <c r="AT4" s="2">
        <v>42005</v>
      </c>
      <c r="AU4" t="s">
        <v>82</v>
      </c>
      <c r="AV4" t="s">
        <v>83</v>
      </c>
      <c r="AW4" s="2">
        <v>41841</v>
      </c>
      <c r="AX4" t="s">
        <v>84</v>
      </c>
      <c r="AY4" t="s">
        <v>82</v>
      </c>
      <c r="BA4" t="s">
        <v>85</v>
      </c>
      <c r="BC4" t="s">
        <v>82</v>
      </c>
      <c r="BH4" s="2">
        <v>41938</v>
      </c>
      <c r="BI4" t="s">
        <v>86</v>
      </c>
      <c r="BJ4" t="s">
        <v>11</v>
      </c>
      <c r="BK4" t="s">
        <v>571</v>
      </c>
      <c r="BM4" t="s">
        <v>525</v>
      </c>
      <c r="BN4" t="s">
        <v>251</v>
      </c>
      <c r="BO4" s="3">
        <v>375862.35</v>
      </c>
      <c r="BP4" t="s">
        <v>87</v>
      </c>
      <c r="BQ4" t="s">
        <v>1064</v>
      </c>
      <c r="BR4" t="s">
        <v>526</v>
      </c>
      <c r="BS4" t="s">
        <v>88</v>
      </c>
      <c r="BT4" t="s">
        <v>88</v>
      </c>
      <c r="BU4" t="s">
        <v>1060</v>
      </c>
      <c r="BV4" s="2">
        <v>41821</v>
      </c>
      <c r="BW4" s="2">
        <v>42916</v>
      </c>
      <c r="BX4" t="s">
        <v>1061</v>
      </c>
      <c r="BY4" t="s">
        <v>1062</v>
      </c>
      <c r="BZ4" s="3">
        <v>382791</v>
      </c>
      <c r="CA4" s="3">
        <v>600000</v>
      </c>
      <c r="CB4" s="3">
        <v>382791</v>
      </c>
      <c r="CC4" t="s">
        <v>1060</v>
      </c>
      <c r="CD4" s="2">
        <v>41821</v>
      </c>
      <c r="CE4" s="2">
        <v>42916</v>
      </c>
      <c r="CF4" t="s">
        <v>1061</v>
      </c>
      <c r="CG4" t="s">
        <v>1062</v>
      </c>
      <c r="CH4" s="3">
        <v>382791</v>
      </c>
      <c r="CI4" s="3">
        <v>600000</v>
      </c>
      <c r="CJ4" s="3">
        <v>382791</v>
      </c>
      <c r="CK4" s="53">
        <v>180</v>
      </c>
    </row>
    <row r="5" spans="1:89">
      <c r="A5" t="s">
        <v>135</v>
      </c>
      <c r="B5" t="s">
        <v>125</v>
      </c>
      <c r="C5" t="s">
        <v>519</v>
      </c>
      <c r="D5" t="s">
        <v>6</v>
      </c>
      <c r="E5" s="1">
        <v>43.15</v>
      </c>
      <c r="F5" t="s">
        <v>80</v>
      </c>
      <c r="G5" t="s">
        <v>120</v>
      </c>
      <c r="H5" t="s">
        <v>520</v>
      </c>
      <c r="I5" t="s">
        <v>4</v>
      </c>
      <c r="J5" t="s">
        <v>521</v>
      </c>
      <c r="K5" t="s">
        <v>5</v>
      </c>
      <c r="L5" t="s">
        <v>112</v>
      </c>
      <c r="N5" t="s">
        <v>249</v>
      </c>
      <c r="P5" t="s">
        <v>529</v>
      </c>
      <c r="R5" s="2">
        <v>41842</v>
      </c>
      <c r="U5" s="2">
        <v>42052</v>
      </c>
      <c r="V5" s="2">
        <v>42051</v>
      </c>
      <c r="W5" s="2">
        <v>41687</v>
      </c>
      <c r="X5" s="2">
        <v>41715</v>
      </c>
      <c r="Z5" s="2">
        <v>41835</v>
      </c>
      <c r="AA5" s="2">
        <v>42018</v>
      </c>
      <c r="AB5" t="s">
        <v>11</v>
      </c>
      <c r="AC5" s="2">
        <v>42018</v>
      </c>
      <c r="AD5" t="s">
        <v>18</v>
      </c>
      <c r="AE5" t="s">
        <v>83</v>
      </c>
      <c r="AF5" t="s">
        <v>82</v>
      </c>
      <c r="AG5" t="s">
        <v>83</v>
      </c>
      <c r="AH5" t="s">
        <v>546</v>
      </c>
      <c r="AJ5" s="3">
        <v>300000</v>
      </c>
      <c r="AK5" s="3">
        <v>125000</v>
      </c>
      <c r="AO5" s="3">
        <v>125000</v>
      </c>
      <c r="AQ5" t="s">
        <v>572</v>
      </c>
      <c r="AR5" t="s">
        <v>83</v>
      </c>
      <c r="AS5" t="s">
        <v>83</v>
      </c>
      <c r="AT5" s="2">
        <v>42005</v>
      </c>
      <c r="AU5" t="s">
        <v>82</v>
      </c>
      <c r="AV5" t="s">
        <v>83</v>
      </c>
      <c r="AW5" s="2">
        <v>41842</v>
      </c>
      <c r="AX5" t="s">
        <v>84</v>
      </c>
      <c r="AY5" t="s">
        <v>82</v>
      </c>
      <c r="BA5" t="s">
        <v>85</v>
      </c>
      <c r="BC5" t="s">
        <v>82</v>
      </c>
      <c r="BH5" s="2">
        <v>41936</v>
      </c>
      <c r="BI5" t="s">
        <v>86</v>
      </c>
      <c r="BJ5" t="s">
        <v>11</v>
      </c>
      <c r="BK5" t="s">
        <v>1071</v>
      </c>
      <c r="BM5" t="s">
        <v>536</v>
      </c>
      <c r="BN5" t="s">
        <v>223</v>
      </c>
      <c r="BO5" s="3">
        <v>278906.08</v>
      </c>
      <c r="BP5" t="s">
        <v>87</v>
      </c>
      <c r="BQ5" t="s">
        <v>1072</v>
      </c>
      <c r="BR5" t="s">
        <v>526</v>
      </c>
      <c r="BS5" t="s">
        <v>88</v>
      </c>
      <c r="BT5" t="s">
        <v>88</v>
      </c>
      <c r="BU5" t="s">
        <v>1060</v>
      </c>
      <c r="BV5" s="2">
        <v>41821</v>
      </c>
      <c r="BW5" s="2">
        <v>42916</v>
      </c>
      <c r="BX5" t="s">
        <v>1061</v>
      </c>
      <c r="BY5" t="s">
        <v>1062</v>
      </c>
      <c r="BZ5" s="3">
        <v>283400</v>
      </c>
      <c r="CA5" s="3">
        <v>150000</v>
      </c>
      <c r="CB5" s="3">
        <v>283400</v>
      </c>
      <c r="CC5" t="s">
        <v>1060</v>
      </c>
      <c r="CD5" s="2">
        <v>41821</v>
      </c>
      <c r="CE5" s="2">
        <v>42916</v>
      </c>
      <c r="CF5" t="s">
        <v>1061</v>
      </c>
      <c r="CG5" t="s">
        <v>1062</v>
      </c>
      <c r="CH5" s="3">
        <v>283400</v>
      </c>
      <c r="CI5" s="3">
        <v>150000</v>
      </c>
      <c r="CJ5" s="3">
        <v>283400</v>
      </c>
      <c r="CK5" s="53">
        <v>191</v>
      </c>
    </row>
    <row r="6" spans="1:89">
      <c r="A6" t="s">
        <v>573</v>
      </c>
      <c r="B6" t="s">
        <v>129</v>
      </c>
      <c r="C6" t="s">
        <v>519</v>
      </c>
      <c r="D6" t="s">
        <v>6</v>
      </c>
      <c r="E6" s="1">
        <v>16.88</v>
      </c>
      <c r="F6" t="s">
        <v>80</v>
      </c>
      <c r="G6" t="s">
        <v>537</v>
      </c>
      <c r="H6" t="s">
        <v>520</v>
      </c>
      <c r="I6" t="s">
        <v>4</v>
      </c>
      <c r="J6" t="s">
        <v>521</v>
      </c>
      <c r="K6" t="s">
        <v>5</v>
      </c>
      <c r="L6" t="s">
        <v>528</v>
      </c>
      <c r="M6" t="s">
        <v>110</v>
      </c>
      <c r="N6" t="s">
        <v>532</v>
      </c>
      <c r="P6" t="s">
        <v>109</v>
      </c>
      <c r="Q6" t="s">
        <v>5</v>
      </c>
      <c r="R6" s="2">
        <v>41961</v>
      </c>
      <c r="U6" s="2">
        <v>42180</v>
      </c>
      <c r="V6" s="2">
        <v>42138</v>
      </c>
      <c r="W6" s="2">
        <v>41596</v>
      </c>
      <c r="X6" s="2">
        <v>41697</v>
      </c>
      <c r="Y6" s="2">
        <v>41772</v>
      </c>
      <c r="Z6" s="2">
        <v>41761</v>
      </c>
      <c r="AA6" s="2">
        <v>42018</v>
      </c>
      <c r="AB6" t="s">
        <v>11</v>
      </c>
      <c r="AC6" s="2">
        <v>42012</v>
      </c>
      <c r="AD6" t="s">
        <v>18</v>
      </c>
      <c r="AE6" t="s">
        <v>83</v>
      </c>
      <c r="AF6" t="s">
        <v>82</v>
      </c>
      <c r="AG6" t="s">
        <v>83</v>
      </c>
      <c r="AH6" t="s">
        <v>523</v>
      </c>
      <c r="AJ6" s="3">
        <v>500000</v>
      </c>
      <c r="AK6" s="3">
        <v>333000</v>
      </c>
      <c r="AO6" s="3">
        <v>333000</v>
      </c>
      <c r="AQ6" t="s">
        <v>574</v>
      </c>
      <c r="AR6" t="s">
        <v>83</v>
      </c>
      <c r="AS6" t="s">
        <v>83</v>
      </c>
      <c r="AT6" s="2">
        <v>42005</v>
      </c>
      <c r="AU6" t="s">
        <v>82</v>
      </c>
      <c r="AV6" t="s">
        <v>83</v>
      </c>
      <c r="AW6" s="2">
        <v>41961</v>
      </c>
      <c r="AX6" t="s">
        <v>84</v>
      </c>
      <c r="AY6" t="s">
        <v>82</v>
      </c>
      <c r="BA6" t="s">
        <v>85</v>
      </c>
      <c r="BC6" t="s">
        <v>82</v>
      </c>
      <c r="BH6" s="2">
        <v>41936</v>
      </c>
      <c r="BI6" t="s">
        <v>86</v>
      </c>
      <c r="BJ6" t="s">
        <v>11</v>
      </c>
      <c r="BK6" t="s">
        <v>600</v>
      </c>
      <c r="BM6" t="s">
        <v>543</v>
      </c>
      <c r="BN6" t="s">
        <v>251</v>
      </c>
      <c r="BO6" s="3">
        <v>21201.49</v>
      </c>
      <c r="BP6" t="s">
        <v>87</v>
      </c>
      <c r="BQ6" t="s">
        <v>1073</v>
      </c>
      <c r="BR6" t="s">
        <v>526</v>
      </c>
      <c r="BS6" t="s">
        <v>88</v>
      </c>
      <c r="BT6" t="s">
        <v>88</v>
      </c>
      <c r="BU6" t="s">
        <v>1060</v>
      </c>
      <c r="BV6" s="2">
        <v>41944</v>
      </c>
      <c r="BW6" s="2">
        <v>43039</v>
      </c>
      <c r="BX6" t="s">
        <v>1061</v>
      </c>
      <c r="BY6" t="s">
        <v>1062</v>
      </c>
      <c r="BZ6" s="3">
        <v>21280</v>
      </c>
      <c r="CA6" s="3">
        <v>220000</v>
      </c>
      <c r="CB6" s="3">
        <v>21280</v>
      </c>
      <c r="CC6" t="s">
        <v>1060</v>
      </c>
      <c r="CD6" s="2">
        <v>41944</v>
      </c>
      <c r="CE6" s="2">
        <v>43039</v>
      </c>
      <c r="CF6" t="s">
        <v>1061</v>
      </c>
      <c r="CG6" t="s">
        <v>1062</v>
      </c>
      <c r="CH6" s="3">
        <v>21280</v>
      </c>
      <c r="CI6" s="3">
        <v>220000</v>
      </c>
      <c r="CJ6" s="3">
        <v>21280</v>
      </c>
      <c r="CK6" s="53">
        <v>159</v>
      </c>
    </row>
    <row r="7" spans="1:89">
      <c r="A7" t="s">
        <v>121</v>
      </c>
      <c r="B7" t="s">
        <v>128</v>
      </c>
      <c r="C7" t="s">
        <v>519</v>
      </c>
      <c r="D7" t="s">
        <v>6</v>
      </c>
      <c r="E7" s="1">
        <v>31.46</v>
      </c>
      <c r="F7" t="s">
        <v>80</v>
      </c>
      <c r="G7" t="s">
        <v>1074</v>
      </c>
      <c r="H7" t="s">
        <v>520</v>
      </c>
      <c r="I7" t="s">
        <v>4</v>
      </c>
      <c r="J7" t="s">
        <v>521</v>
      </c>
      <c r="K7" t="s">
        <v>5</v>
      </c>
      <c r="L7" t="s">
        <v>528</v>
      </c>
      <c r="M7" t="s">
        <v>110</v>
      </c>
      <c r="N7" t="s">
        <v>561</v>
      </c>
      <c r="P7" t="s">
        <v>529</v>
      </c>
      <c r="R7" s="2">
        <v>41715</v>
      </c>
      <c r="U7" s="2">
        <v>41971</v>
      </c>
      <c r="V7" s="2">
        <v>41929</v>
      </c>
      <c r="W7" s="2">
        <v>41695</v>
      </c>
      <c r="X7" s="2">
        <v>41709</v>
      </c>
      <c r="Y7" s="2">
        <v>42011</v>
      </c>
      <c r="Z7" s="2">
        <v>41677</v>
      </c>
      <c r="AA7" s="2">
        <v>42018</v>
      </c>
      <c r="AB7" t="s">
        <v>11</v>
      </c>
      <c r="AC7" s="2">
        <v>42011</v>
      </c>
      <c r="AD7" t="s">
        <v>19</v>
      </c>
      <c r="AE7" t="s">
        <v>83</v>
      </c>
      <c r="AF7" t="s">
        <v>82</v>
      </c>
      <c r="AG7" t="s">
        <v>83</v>
      </c>
      <c r="AH7" t="s">
        <v>1075</v>
      </c>
      <c r="AJ7" s="3">
        <v>333000</v>
      </c>
      <c r="AK7" s="3">
        <v>237000</v>
      </c>
      <c r="AO7" s="3">
        <v>237000</v>
      </c>
      <c r="AQ7" t="s">
        <v>534</v>
      </c>
      <c r="AR7" t="s">
        <v>83</v>
      </c>
      <c r="AS7" t="s">
        <v>83</v>
      </c>
      <c r="AT7" s="2">
        <v>42005</v>
      </c>
      <c r="AU7" t="s">
        <v>82</v>
      </c>
      <c r="AV7" t="s">
        <v>83</v>
      </c>
      <c r="AW7" s="2">
        <v>41715</v>
      </c>
      <c r="AX7" t="s">
        <v>84</v>
      </c>
      <c r="AY7" t="s">
        <v>82</v>
      </c>
      <c r="BA7" t="s">
        <v>85</v>
      </c>
      <c r="BC7" t="s">
        <v>82</v>
      </c>
      <c r="BH7" s="2">
        <v>41936</v>
      </c>
      <c r="BI7" t="s">
        <v>86</v>
      </c>
      <c r="BJ7" t="s">
        <v>11</v>
      </c>
      <c r="BK7" t="s">
        <v>1076</v>
      </c>
      <c r="BM7" t="s">
        <v>525</v>
      </c>
      <c r="BN7" t="s">
        <v>251</v>
      </c>
      <c r="BO7" s="3">
        <v>187692.65</v>
      </c>
      <c r="BP7" t="s">
        <v>87</v>
      </c>
      <c r="BQ7" t="s">
        <v>1077</v>
      </c>
      <c r="BR7" t="s">
        <v>526</v>
      </c>
      <c r="BS7" t="s">
        <v>88</v>
      </c>
      <c r="BT7" t="s">
        <v>88</v>
      </c>
      <c r="BU7" t="s">
        <v>1060</v>
      </c>
      <c r="BV7" s="2">
        <v>41699</v>
      </c>
      <c r="BW7" s="2">
        <v>42794</v>
      </c>
      <c r="BX7" t="s">
        <v>1061</v>
      </c>
      <c r="BY7" t="s">
        <v>1062</v>
      </c>
      <c r="BZ7" s="3">
        <v>189200</v>
      </c>
      <c r="CA7" s="3">
        <v>0</v>
      </c>
      <c r="CB7" s="3">
        <v>189200</v>
      </c>
      <c r="CC7" t="s">
        <v>1060</v>
      </c>
      <c r="CD7" s="2">
        <v>41699</v>
      </c>
      <c r="CE7" s="2">
        <v>42794</v>
      </c>
      <c r="CF7" t="s">
        <v>1061</v>
      </c>
      <c r="CG7" t="s">
        <v>1062</v>
      </c>
      <c r="CH7" s="3">
        <v>189200</v>
      </c>
      <c r="CI7" s="3">
        <v>0</v>
      </c>
      <c r="CJ7" s="3">
        <v>189200</v>
      </c>
      <c r="CK7" s="53">
        <v>120</v>
      </c>
    </row>
    <row r="8" spans="1:89">
      <c r="A8" t="s">
        <v>574</v>
      </c>
      <c r="B8" t="s">
        <v>132</v>
      </c>
      <c r="C8" t="s">
        <v>519</v>
      </c>
      <c r="D8" t="s">
        <v>6</v>
      </c>
      <c r="E8" s="1">
        <v>43.95</v>
      </c>
      <c r="F8" t="s">
        <v>80</v>
      </c>
      <c r="G8" t="s">
        <v>11</v>
      </c>
      <c r="H8" t="s">
        <v>538</v>
      </c>
      <c r="I8" t="s">
        <v>4</v>
      </c>
      <c r="J8" t="s">
        <v>521</v>
      </c>
      <c r="K8" t="s">
        <v>5</v>
      </c>
      <c r="L8" t="s">
        <v>112</v>
      </c>
      <c r="N8" t="s">
        <v>249</v>
      </c>
      <c r="P8" t="s">
        <v>522</v>
      </c>
      <c r="Q8" t="s">
        <v>110</v>
      </c>
      <c r="R8" s="2">
        <v>41841</v>
      </c>
      <c r="U8" s="2">
        <v>42153</v>
      </c>
      <c r="V8" s="2">
        <v>42111</v>
      </c>
      <c r="W8" s="2">
        <v>41680</v>
      </c>
      <c r="X8" s="2">
        <v>41710</v>
      </c>
      <c r="Z8" s="2">
        <v>41829</v>
      </c>
      <c r="AA8" s="2">
        <v>42018</v>
      </c>
      <c r="AB8" t="s">
        <v>11</v>
      </c>
      <c r="AC8" s="2">
        <v>42018</v>
      </c>
      <c r="AD8" t="s">
        <v>18</v>
      </c>
      <c r="AE8" t="s">
        <v>83</v>
      </c>
      <c r="AF8" t="s">
        <v>82</v>
      </c>
      <c r="AG8" t="s">
        <v>83</v>
      </c>
      <c r="AH8" t="s">
        <v>1078</v>
      </c>
      <c r="AJ8" s="3">
        <v>400000</v>
      </c>
      <c r="AK8" s="3">
        <v>231000</v>
      </c>
      <c r="AO8" s="3">
        <v>231000</v>
      </c>
      <c r="AQ8" t="s">
        <v>278</v>
      </c>
      <c r="AR8" t="s">
        <v>83</v>
      </c>
      <c r="AS8" t="s">
        <v>83</v>
      </c>
      <c r="AT8" s="2">
        <v>42005</v>
      </c>
      <c r="AU8" t="s">
        <v>82</v>
      </c>
      <c r="AV8" t="s">
        <v>83</v>
      </c>
      <c r="AW8" s="2">
        <v>41841</v>
      </c>
      <c r="AX8" t="s">
        <v>84</v>
      </c>
      <c r="AY8" t="s">
        <v>82</v>
      </c>
      <c r="BA8" t="s">
        <v>85</v>
      </c>
      <c r="BC8" t="s">
        <v>82</v>
      </c>
      <c r="BH8" s="2">
        <v>41936</v>
      </c>
      <c r="BI8" t="s">
        <v>86</v>
      </c>
      <c r="BJ8" t="s">
        <v>11</v>
      </c>
      <c r="BK8" t="s">
        <v>576</v>
      </c>
      <c r="BM8" t="s">
        <v>536</v>
      </c>
      <c r="BN8" t="s">
        <v>223</v>
      </c>
      <c r="BO8" s="3">
        <v>157295.42000000001</v>
      </c>
      <c r="BP8" t="s">
        <v>87</v>
      </c>
      <c r="BQ8" t="s">
        <v>1067</v>
      </c>
      <c r="BR8" t="s">
        <v>526</v>
      </c>
      <c r="BS8" t="s">
        <v>88</v>
      </c>
      <c r="BT8" t="s">
        <v>88</v>
      </c>
      <c r="BU8" t="s">
        <v>1060</v>
      </c>
      <c r="BV8" s="2">
        <v>41821</v>
      </c>
      <c r="BW8" s="2">
        <v>42916</v>
      </c>
      <c r="BX8" t="s">
        <v>1061</v>
      </c>
      <c r="BY8" t="s">
        <v>1062</v>
      </c>
      <c r="BZ8" s="3">
        <v>159920</v>
      </c>
      <c r="CA8" s="3">
        <v>190000</v>
      </c>
      <c r="CB8" s="3">
        <v>159920</v>
      </c>
      <c r="CC8" t="s">
        <v>1060</v>
      </c>
      <c r="CD8" s="2">
        <v>41821</v>
      </c>
      <c r="CE8" s="2">
        <v>42916</v>
      </c>
      <c r="CF8" t="s">
        <v>1061</v>
      </c>
      <c r="CG8" t="s">
        <v>1062</v>
      </c>
      <c r="CH8" s="3">
        <v>159920</v>
      </c>
      <c r="CI8" s="3">
        <v>190000</v>
      </c>
      <c r="CJ8" s="3">
        <v>159920</v>
      </c>
      <c r="CK8" s="53">
        <v>161</v>
      </c>
    </row>
    <row r="9" spans="1:89">
      <c r="A9" t="s">
        <v>577</v>
      </c>
      <c r="B9" t="s">
        <v>114</v>
      </c>
      <c r="C9" t="s">
        <v>519</v>
      </c>
      <c r="D9" t="s">
        <v>6</v>
      </c>
      <c r="E9" s="1">
        <v>31.91</v>
      </c>
      <c r="F9" t="s">
        <v>80</v>
      </c>
      <c r="G9" t="s">
        <v>115</v>
      </c>
      <c r="H9" t="s">
        <v>520</v>
      </c>
      <c r="I9" t="s">
        <v>4</v>
      </c>
      <c r="J9" t="s">
        <v>521</v>
      </c>
      <c r="K9" t="s">
        <v>5</v>
      </c>
      <c r="L9" t="s">
        <v>545</v>
      </c>
      <c r="N9" t="s">
        <v>112</v>
      </c>
      <c r="P9" t="s">
        <v>522</v>
      </c>
      <c r="Q9" t="s">
        <v>110</v>
      </c>
      <c r="R9" s="2">
        <v>41834</v>
      </c>
      <c r="U9" s="2">
        <v>42114</v>
      </c>
      <c r="V9" s="2">
        <v>42072</v>
      </c>
      <c r="W9" s="2">
        <v>41645</v>
      </c>
      <c r="X9" s="2">
        <v>41711</v>
      </c>
      <c r="Z9" s="2">
        <v>41824</v>
      </c>
      <c r="AA9" s="2">
        <v>42018</v>
      </c>
      <c r="AB9" t="s">
        <v>11</v>
      </c>
      <c r="AC9" s="2">
        <v>42013</v>
      </c>
      <c r="AD9" t="s">
        <v>18</v>
      </c>
      <c r="AE9" t="s">
        <v>83</v>
      </c>
      <c r="AF9" t="s">
        <v>82</v>
      </c>
      <c r="AG9" t="s">
        <v>83</v>
      </c>
      <c r="AH9" t="s">
        <v>546</v>
      </c>
      <c r="AJ9" s="3">
        <v>400000</v>
      </c>
      <c r="AK9" s="3">
        <v>230000</v>
      </c>
      <c r="AO9" s="3">
        <v>230000</v>
      </c>
      <c r="AQ9" t="s">
        <v>578</v>
      </c>
      <c r="AR9" t="s">
        <v>83</v>
      </c>
      <c r="AS9" t="s">
        <v>83</v>
      </c>
      <c r="AT9" s="2">
        <v>42005</v>
      </c>
      <c r="AU9" t="s">
        <v>82</v>
      </c>
      <c r="AV9" t="s">
        <v>83</v>
      </c>
      <c r="AW9" s="2">
        <v>41834</v>
      </c>
      <c r="AX9" t="s">
        <v>84</v>
      </c>
      <c r="AY9" t="s">
        <v>82</v>
      </c>
      <c r="BA9" t="s">
        <v>85</v>
      </c>
      <c r="BC9" t="s">
        <v>82</v>
      </c>
      <c r="BH9" s="2">
        <v>41936</v>
      </c>
      <c r="BI9" t="s">
        <v>86</v>
      </c>
      <c r="BJ9" t="s">
        <v>11</v>
      </c>
      <c r="BK9" t="s">
        <v>579</v>
      </c>
      <c r="BM9" t="s">
        <v>536</v>
      </c>
      <c r="BN9" t="s">
        <v>7</v>
      </c>
      <c r="BO9" s="3">
        <v>390894.23</v>
      </c>
      <c r="BP9" t="s">
        <v>87</v>
      </c>
      <c r="BQ9" t="s">
        <v>1079</v>
      </c>
      <c r="BR9" t="s">
        <v>526</v>
      </c>
      <c r="BS9" t="s">
        <v>88</v>
      </c>
      <c r="BT9" t="s">
        <v>88</v>
      </c>
      <c r="BU9" t="s">
        <v>1060</v>
      </c>
      <c r="BV9" s="2">
        <v>41821</v>
      </c>
      <c r="BW9" s="2">
        <v>42916</v>
      </c>
      <c r="BX9" t="s">
        <v>1061</v>
      </c>
      <c r="BY9" t="s">
        <v>1062</v>
      </c>
      <c r="BZ9" s="3">
        <v>394440</v>
      </c>
      <c r="CA9" s="3">
        <v>0</v>
      </c>
      <c r="CB9" s="3">
        <v>394440</v>
      </c>
      <c r="CC9" t="s">
        <v>1060</v>
      </c>
      <c r="CD9" s="2">
        <v>41821</v>
      </c>
      <c r="CE9" s="2">
        <v>42916</v>
      </c>
      <c r="CF9" t="s">
        <v>1061</v>
      </c>
      <c r="CG9" t="s">
        <v>1062</v>
      </c>
      <c r="CH9" s="3">
        <v>394440</v>
      </c>
      <c r="CI9" s="3">
        <v>0</v>
      </c>
      <c r="CJ9" s="3">
        <v>394440</v>
      </c>
      <c r="CK9" s="53">
        <v>129</v>
      </c>
    </row>
    <row r="10" spans="1:89">
      <c r="A10" t="s">
        <v>524</v>
      </c>
      <c r="B10" t="s">
        <v>456</v>
      </c>
      <c r="C10" t="s">
        <v>519</v>
      </c>
      <c r="D10" t="s">
        <v>6</v>
      </c>
      <c r="E10" s="1">
        <v>13.68</v>
      </c>
      <c r="F10" t="s">
        <v>80</v>
      </c>
      <c r="G10" t="s">
        <v>115</v>
      </c>
      <c r="H10" t="s">
        <v>520</v>
      </c>
      <c r="I10" t="s">
        <v>4</v>
      </c>
      <c r="J10" t="s">
        <v>521</v>
      </c>
      <c r="K10" t="s">
        <v>5</v>
      </c>
      <c r="L10" t="s">
        <v>112</v>
      </c>
      <c r="N10" t="s">
        <v>561</v>
      </c>
      <c r="P10" t="s">
        <v>562</v>
      </c>
      <c r="Q10" t="s">
        <v>81</v>
      </c>
      <c r="R10" s="2">
        <v>41927</v>
      </c>
      <c r="U10" s="2">
        <v>42213</v>
      </c>
      <c r="V10" s="2">
        <v>42171</v>
      </c>
      <c r="W10" s="2">
        <v>41624</v>
      </c>
      <c r="X10" s="2">
        <v>41697</v>
      </c>
      <c r="Z10" s="2">
        <v>41789</v>
      </c>
      <c r="AA10" s="2">
        <v>42018</v>
      </c>
      <c r="AB10" t="s">
        <v>11</v>
      </c>
      <c r="AC10" s="2">
        <v>42012</v>
      </c>
      <c r="AD10" t="s">
        <v>18</v>
      </c>
      <c r="AE10" t="s">
        <v>83</v>
      </c>
      <c r="AF10" t="s">
        <v>82</v>
      </c>
      <c r="AG10" t="s">
        <v>83</v>
      </c>
      <c r="AH10" t="s">
        <v>523</v>
      </c>
      <c r="AJ10" s="3">
        <v>570000</v>
      </c>
      <c r="AK10" s="3">
        <v>230000</v>
      </c>
      <c r="AO10" s="3">
        <v>230000</v>
      </c>
      <c r="AQ10" t="s">
        <v>553</v>
      </c>
      <c r="AR10" t="s">
        <v>83</v>
      </c>
      <c r="AS10" t="s">
        <v>83</v>
      </c>
      <c r="AT10" s="2">
        <v>42005</v>
      </c>
      <c r="AU10" t="s">
        <v>82</v>
      </c>
      <c r="AV10" t="s">
        <v>83</v>
      </c>
      <c r="AW10" s="2">
        <v>41927</v>
      </c>
      <c r="AX10" t="s">
        <v>84</v>
      </c>
      <c r="AY10" t="s">
        <v>82</v>
      </c>
      <c r="BA10" t="s">
        <v>85</v>
      </c>
      <c r="BC10" t="s">
        <v>82</v>
      </c>
      <c r="BH10" s="2">
        <v>41938</v>
      </c>
      <c r="BI10" t="s">
        <v>86</v>
      </c>
      <c r="BJ10" t="s">
        <v>11</v>
      </c>
      <c r="BK10" t="s">
        <v>563</v>
      </c>
      <c r="BM10" t="s">
        <v>536</v>
      </c>
      <c r="BN10" t="s">
        <v>564</v>
      </c>
      <c r="BO10" s="3">
        <v>287197.03000000003</v>
      </c>
      <c r="BP10" t="s">
        <v>87</v>
      </c>
      <c r="BQ10" t="s">
        <v>1066</v>
      </c>
      <c r="BR10" t="s">
        <v>526</v>
      </c>
      <c r="BS10" t="s">
        <v>88</v>
      </c>
      <c r="BT10" t="s">
        <v>88</v>
      </c>
      <c r="BU10" t="s">
        <v>1060</v>
      </c>
      <c r="BV10" s="2">
        <v>41913</v>
      </c>
      <c r="BW10" s="2">
        <v>43008</v>
      </c>
      <c r="BX10" t="s">
        <v>1061</v>
      </c>
      <c r="BY10" t="s">
        <v>1062</v>
      </c>
      <c r="BZ10" s="3">
        <v>291440</v>
      </c>
      <c r="CA10" s="3">
        <v>350000</v>
      </c>
      <c r="CB10" s="3">
        <v>291440</v>
      </c>
      <c r="CC10" t="s">
        <v>1060</v>
      </c>
      <c r="CD10" s="2">
        <v>41913</v>
      </c>
      <c r="CE10" s="2">
        <v>43008</v>
      </c>
      <c r="CF10" t="s">
        <v>1061</v>
      </c>
      <c r="CG10" t="s">
        <v>1062</v>
      </c>
      <c r="CH10" s="3">
        <v>291440</v>
      </c>
      <c r="CI10" s="3">
        <v>350000</v>
      </c>
      <c r="CJ10" s="3">
        <v>291440</v>
      </c>
      <c r="CK10" s="53">
        <v>145</v>
      </c>
    </row>
    <row r="11" spans="1:89">
      <c r="A11" t="s">
        <v>518</v>
      </c>
      <c r="B11" t="s">
        <v>134</v>
      </c>
      <c r="C11" t="s">
        <v>519</v>
      </c>
      <c r="D11" t="s">
        <v>6</v>
      </c>
      <c r="E11" s="1">
        <v>12.89</v>
      </c>
      <c r="F11" t="s">
        <v>80</v>
      </c>
      <c r="G11" t="s">
        <v>9</v>
      </c>
      <c r="H11" t="s">
        <v>520</v>
      </c>
      <c r="I11" t="s">
        <v>4</v>
      </c>
      <c r="J11" t="s">
        <v>521</v>
      </c>
      <c r="K11" t="s">
        <v>5</v>
      </c>
      <c r="L11" t="s">
        <v>126</v>
      </c>
      <c r="M11" t="s">
        <v>5</v>
      </c>
      <c r="N11" t="s">
        <v>112</v>
      </c>
      <c r="P11" t="s">
        <v>522</v>
      </c>
      <c r="Q11" t="s">
        <v>110</v>
      </c>
      <c r="R11" s="2">
        <v>41904</v>
      </c>
      <c r="U11" s="2">
        <v>42158</v>
      </c>
      <c r="V11" s="2">
        <v>42116</v>
      </c>
      <c r="W11" s="2">
        <v>41617</v>
      </c>
      <c r="X11" s="2">
        <v>41697</v>
      </c>
      <c r="Z11" s="2">
        <v>41782</v>
      </c>
      <c r="AA11" s="2">
        <v>42018</v>
      </c>
      <c r="AB11" t="s">
        <v>11</v>
      </c>
      <c r="AC11" s="2">
        <v>42012</v>
      </c>
      <c r="AD11" t="s">
        <v>18</v>
      </c>
      <c r="AE11" t="s">
        <v>83</v>
      </c>
      <c r="AF11" t="s">
        <v>82</v>
      </c>
      <c r="AG11" t="s">
        <v>83</v>
      </c>
      <c r="AH11" t="s">
        <v>546</v>
      </c>
      <c r="AJ11" s="3">
        <v>722000</v>
      </c>
      <c r="AK11" s="3">
        <v>567000</v>
      </c>
      <c r="AO11" s="3">
        <v>567000</v>
      </c>
      <c r="AQ11" t="s">
        <v>524</v>
      </c>
      <c r="AR11" t="s">
        <v>83</v>
      </c>
      <c r="AS11" t="s">
        <v>83</v>
      </c>
      <c r="AT11" s="2">
        <v>42005</v>
      </c>
      <c r="AU11" t="s">
        <v>82</v>
      </c>
      <c r="AV11" t="s">
        <v>83</v>
      </c>
      <c r="AW11" s="2">
        <v>41904</v>
      </c>
      <c r="AX11" t="s">
        <v>84</v>
      </c>
      <c r="AY11" t="s">
        <v>82</v>
      </c>
      <c r="BA11" t="s">
        <v>85</v>
      </c>
      <c r="BC11" t="s">
        <v>82</v>
      </c>
      <c r="BH11" s="2">
        <v>41936</v>
      </c>
      <c r="BI11" t="s">
        <v>86</v>
      </c>
      <c r="BJ11" t="s">
        <v>11</v>
      </c>
      <c r="BK11" t="s">
        <v>1080</v>
      </c>
      <c r="BM11" t="s">
        <v>536</v>
      </c>
      <c r="BN11" t="s">
        <v>7</v>
      </c>
      <c r="BO11" s="3">
        <v>163414.97</v>
      </c>
      <c r="BP11" t="s">
        <v>87</v>
      </c>
      <c r="BQ11" t="s">
        <v>1081</v>
      </c>
      <c r="BR11" t="s">
        <v>526</v>
      </c>
      <c r="BS11" t="s">
        <v>88</v>
      </c>
      <c r="BT11" t="s">
        <v>88</v>
      </c>
      <c r="BU11" t="s">
        <v>1060</v>
      </c>
      <c r="BV11" s="2">
        <v>41883</v>
      </c>
      <c r="BW11" s="2">
        <v>42978</v>
      </c>
      <c r="BX11" t="s">
        <v>1061</v>
      </c>
      <c r="BY11" t="s">
        <v>1062</v>
      </c>
      <c r="BZ11" s="3">
        <v>164280</v>
      </c>
      <c r="CA11" s="3">
        <v>242000</v>
      </c>
      <c r="CB11" s="3">
        <v>164280</v>
      </c>
      <c r="CC11" t="s">
        <v>1060</v>
      </c>
      <c r="CD11" s="2">
        <v>41883</v>
      </c>
      <c r="CE11" s="2">
        <v>42978</v>
      </c>
      <c r="CF11" t="s">
        <v>1061</v>
      </c>
      <c r="CG11" t="s">
        <v>1062</v>
      </c>
      <c r="CH11" s="3">
        <v>164280</v>
      </c>
      <c r="CI11" s="3">
        <v>242000</v>
      </c>
      <c r="CJ11" s="3">
        <v>164280</v>
      </c>
      <c r="CK11" s="53">
        <v>172</v>
      </c>
    </row>
    <row r="12" spans="1:89">
      <c r="A12" t="s">
        <v>527</v>
      </c>
      <c r="B12" t="s">
        <v>124</v>
      </c>
      <c r="C12" t="s">
        <v>519</v>
      </c>
      <c r="D12" t="s">
        <v>6</v>
      </c>
      <c r="E12" s="1">
        <v>21.12</v>
      </c>
      <c r="F12" t="s">
        <v>80</v>
      </c>
      <c r="G12" t="s">
        <v>11</v>
      </c>
      <c r="H12" t="s">
        <v>520</v>
      </c>
      <c r="I12" t="s">
        <v>4</v>
      </c>
      <c r="J12" t="s">
        <v>521</v>
      </c>
      <c r="K12" t="s">
        <v>5</v>
      </c>
      <c r="L12" t="s">
        <v>528</v>
      </c>
      <c r="M12" t="s">
        <v>110</v>
      </c>
      <c r="N12" t="s">
        <v>249</v>
      </c>
      <c r="P12" t="s">
        <v>529</v>
      </c>
      <c r="R12" s="2">
        <v>41961</v>
      </c>
      <c r="U12" s="2">
        <v>42198</v>
      </c>
      <c r="V12" s="2">
        <v>42195</v>
      </c>
      <c r="W12" s="2">
        <v>41645</v>
      </c>
      <c r="X12" s="2">
        <v>41912</v>
      </c>
      <c r="Z12" s="2">
        <v>41866</v>
      </c>
      <c r="AA12" s="2">
        <v>42237</v>
      </c>
      <c r="AB12" t="s">
        <v>11</v>
      </c>
      <c r="AC12" s="2">
        <v>42012</v>
      </c>
      <c r="AD12" t="s">
        <v>18</v>
      </c>
      <c r="AE12" t="s">
        <v>83</v>
      </c>
      <c r="AF12" t="s">
        <v>83</v>
      </c>
      <c r="AG12" t="s">
        <v>83</v>
      </c>
      <c r="AH12" t="s">
        <v>523</v>
      </c>
      <c r="AJ12" s="3">
        <v>899000</v>
      </c>
      <c r="AK12" s="3">
        <v>722000</v>
      </c>
      <c r="AO12" s="3">
        <v>722000</v>
      </c>
      <c r="AQ12" t="s">
        <v>5</v>
      </c>
      <c r="AR12" t="s">
        <v>83</v>
      </c>
      <c r="AS12" t="s">
        <v>83</v>
      </c>
      <c r="AT12" s="2">
        <v>42005</v>
      </c>
      <c r="AU12" t="s">
        <v>82</v>
      </c>
      <c r="AV12" t="s">
        <v>83</v>
      </c>
      <c r="AW12" s="2">
        <v>41961</v>
      </c>
      <c r="AX12" t="s">
        <v>84</v>
      </c>
      <c r="AY12" t="s">
        <v>82</v>
      </c>
      <c r="BA12" t="s">
        <v>85</v>
      </c>
      <c r="BC12" t="s">
        <v>82</v>
      </c>
      <c r="BH12" s="2">
        <v>41936</v>
      </c>
      <c r="BI12" t="s">
        <v>86</v>
      </c>
      <c r="BJ12" t="s">
        <v>11</v>
      </c>
      <c r="BK12" t="s">
        <v>530</v>
      </c>
      <c r="BM12" t="s">
        <v>525</v>
      </c>
      <c r="BN12" t="s">
        <v>251</v>
      </c>
      <c r="BO12" s="3">
        <v>413331.55</v>
      </c>
      <c r="BP12" t="s">
        <v>87</v>
      </c>
      <c r="BQ12" t="s">
        <v>1082</v>
      </c>
      <c r="BR12" t="s">
        <v>526</v>
      </c>
      <c r="BS12" t="s">
        <v>88</v>
      </c>
      <c r="BT12" t="s">
        <v>88</v>
      </c>
      <c r="BU12" t="s">
        <v>1060</v>
      </c>
      <c r="BV12" s="2">
        <v>41944</v>
      </c>
      <c r="BW12" s="2">
        <v>43039</v>
      </c>
      <c r="BX12" t="s">
        <v>1061</v>
      </c>
      <c r="BY12" t="s">
        <v>1062</v>
      </c>
      <c r="BZ12" s="3">
        <v>419220</v>
      </c>
      <c r="CA12" s="3">
        <v>700000</v>
      </c>
      <c r="CB12" s="3">
        <v>419220</v>
      </c>
      <c r="CC12" t="s">
        <v>1060</v>
      </c>
      <c r="CD12" s="2">
        <v>41944</v>
      </c>
      <c r="CE12" s="2">
        <v>43039</v>
      </c>
      <c r="CF12" t="s">
        <v>1061</v>
      </c>
      <c r="CG12" t="s">
        <v>1062</v>
      </c>
      <c r="CH12" s="3">
        <v>419220</v>
      </c>
      <c r="CI12" s="3">
        <v>700000</v>
      </c>
      <c r="CJ12" s="3">
        <v>419220</v>
      </c>
      <c r="CK12" s="53">
        <v>185</v>
      </c>
    </row>
    <row r="13" spans="1:89">
      <c r="A13" t="s">
        <v>5</v>
      </c>
      <c r="B13" t="s">
        <v>1083</v>
      </c>
      <c r="C13" t="s">
        <v>519</v>
      </c>
      <c r="D13" t="s">
        <v>6</v>
      </c>
      <c r="E13" s="1">
        <v>15.29</v>
      </c>
      <c r="F13" t="s">
        <v>80</v>
      </c>
      <c r="G13" t="s">
        <v>531</v>
      </c>
      <c r="H13" t="s">
        <v>520</v>
      </c>
      <c r="I13" t="s">
        <v>4</v>
      </c>
      <c r="J13" t="s">
        <v>521</v>
      </c>
      <c r="K13" t="s">
        <v>5</v>
      </c>
      <c r="L13" t="s">
        <v>528</v>
      </c>
      <c r="M13" t="s">
        <v>110</v>
      </c>
      <c r="N13" t="s">
        <v>532</v>
      </c>
      <c r="P13" t="s">
        <v>522</v>
      </c>
      <c r="Q13" t="s">
        <v>110</v>
      </c>
      <c r="R13" s="2">
        <v>41961</v>
      </c>
      <c r="U13" s="2">
        <v>42178</v>
      </c>
      <c r="V13" s="2">
        <v>42136</v>
      </c>
      <c r="W13" s="2">
        <v>41596</v>
      </c>
      <c r="X13" s="2">
        <v>41708</v>
      </c>
      <c r="Z13" s="2">
        <v>41761</v>
      </c>
      <c r="AA13" s="2">
        <v>42018</v>
      </c>
      <c r="AB13" t="s">
        <v>11</v>
      </c>
      <c r="AC13" s="2">
        <v>42012</v>
      </c>
      <c r="AD13" t="s">
        <v>18</v>
      </c>
      <c r="AE13" t="s">
        <v>83</v>
      </c>
      <c r="AF13" t="s">
        <v>82</v>
      </c>
      <c r="AG13" t="s">
        <v>83</v>
      </c>
      <c r="AH13" t="s">
        <v>523</v>
      </c>
      <c r="AJ13" s="3">
        <v>1000000</v>
      </c>
      <c r="AK13" s="3">
        <v>720000</v>
      </c>
      <c r="AO13" s="3">
        <v>720000</v>
      </c>
      <c r="AQ13" t="s">
        <v>527</v>
      </c>
      <c r="AR13" t="s">
        <v>83</v>
      </c>
      <c r="AS13" t="s">
        <v>83</v>
      </c>
      <c r="AT13" s="2">
        <v>42005</v>
      </c>
      <c r="AU13" t="s">
        <v>82</v>
      </c>
      <c r="AV13" t="s">
        <v>83</v>
      </c>
      <c r="AW13" s="2">
        <v>41961</v>
      </c>
      <c r="AX13" t="s">
        <v>84</v>
      </c>
      <c r="AY13" t="s">
        <v>82</v>
      </c>
      <c r="BA13" t="s">
        <v>85</v>
      </c>
      <c r="BC13" t="s">
        <v>82</v>
      </c>
      <c r="BH13" s="2">
        <v>41936</v>
      </c>
      <c r="BI13" t="s">
        <v>86</v>
      </c>
      <c r="BJ13" t="s">
        <v>11</v>
      </c>
      <c r="BK13" t="s">
        <v>533</v>
      </c>
      <c r="BM13" t="s">
        <v>525</v>
      </c>
      <c r="BN13" t="s">
        <v>251</v>
      </c>
      <c r="BO13" s="3">
        <v>292411.39</v>
      </c>
      <c r="BP13" t="s">
        <v>87</v>
      </c>
      <c r="BQ13" t="s">
        <v>1084</v>
      </c>
      <c r="BR13" t="s">
        <v>526</v>
      </c>
      <c r="BS13" t="s">
        <v>88</v>
      </c>
      <c r="BT13" t="s">
        <v>88</v>
      </c>
      <c r="BU13" t="s">
        <v>1060</v>
      </c>
      <c r="BV13" s="2">
        <v>41944</v>
      </c>
      <c r="BW13" s="2">
        <v>43039</v>
      </c>
      <c r="BX13" t="s">
        <v>1061</v>
      </c>
      <c r="BY13" t="s">
        <v>1062</v>
      </c>
      <c r="BZ13" s="3">
        <v>297400</v>
      </c>
      <c r="CA13" s="3">
        <v>422000</v>
      </c>
      <c r="CB13" s="3">
        <v>297400</v>
      </c>
      <c r="CC13" t="s">
        <v>1060</v>
      </c>
      <c r="CD13" s="2">
        <v>41944</v>
      </c>
      <c r="CE13" s="2">
        <v>43039</v>
      </c>
      <c r="CF13" t="s">
        <v>1061</v>
      </c>
      <c r="CG13" t="s">
        <v>1062</v>
      </c>
      <c r="CH13" s="3">
        <v>297400</v>
      </c>
      <c r="CI13" s="3">
        <v>422000</v>
      </c>
      <c r="CJ13" s="3">
        <v>297400</v>
      </c>
      <c r="CK13" s="53">
        <v>172</v>
      </c>
    </row>
    <row r="14" spans="1:89">
      <c r="A14" t="s">
        <v>534</v>
      </c>
      <c r="B14" t="s">
        <v>131</v>
      </c>
      <c r="C14" t="s">
        <v>519</v>
      </c>
      <c r="D14" t="s">
        <v>6</v>
      </c>
      <c r="E14" s="1">
        <v>12.49</v>
      </c>
      <c r="F14" t="s">
        <v>80</v>
      </c>
      <c r="G14" t="s">
        <v>14</v>
      </c>
      <c r="H14" t="s">
        <v>520</v>
      </c>
      <c r="I14" t="s">
        <v>4</v>
      </c>
      <c r="J14" t="s">
        <v>521</v>
      </c>
      <c r="K14" t="s">
        <v>5</v>
      </c>
      <c r="L14" t="s">
        <v>126</v>
      </c>
      <c r="M14" t="s">
        <v>5</v>
      </c>
      <c r="N14" t="s">
        <v>112</v>
      </c>
      <c r="P14" t="s">
        <v>529</v>
      </c>
      <c r="R14" s="2">
        <v>41939</v>
      </c>
      <c r="U14" s="2">
        <v>42200</v>
      </c>
      <c r="V14" s="2">
        <v>42158</v>
      </c>
      <c r="W14" s="2">
        <v>41645</v>
      </c>
      <c r="X14" s="2">
        <v>41708</v>
      </c>
      <c r="Z14" s="2">
        <v>41852</v>
      </c>
      <c r="AA14" s="2">
        <v>42018</v>
      </c>
      <c r="AB14" t="s">
        <v>11</v>
      </c>
      <c r="AC14" s="2">
        <v>42013</v>
      </c>
      <c r="AD14" t="s">
        <v>18</v>
      </c>
      <c r="AE14" t="s">
        <v>83</v>
      </c>
      <c r="AF14" t="s">
        <v>82</v>
      </c>
      <c r="AG14" t="s">
        <v>83</v>
      </c>
      <c r="AH14" t="s">
        <v>523</v>
      </c>
      <c r="AJ14" s="3">
        <v>522000</v>
      </c>
      <c r="AK14" s="3">
        <v>431000</v>
      </c>
      <c r="AO14" s="3">
        <v>431000</v>
      </c>
      <c r="AQ14" t="s">
        <v>518</v>
      </c>
      <c r="AR14" t="s">
        <v>83</v>
      </c>
      <c r="AS14" t="s">
        <v>83</v>
      </c>
      <c r="AT14" s="2">
        <v>42005</v>
      </c>
      <c r="AU14" t="s">
        <v>82</v>
      </c>
      <c r="AV14" t="s">
        <v>83</v>
      </c>
      <c r="AW14" s="2">
        <v>41939</v>
      </c>
      <c r="AX14" t="s">
        <v>84</v>
      </c>
      <c r="AY14" t="s">
        <v>82</v>
      </c>
      <c r="BA14" t="s">
        <v>85</v>
      </c>
      <c r="BC14" t="s">
        <v>82</v>
      </c>
      <c r="BH14" s="2">
        <v>41936</v>
      </c>
      <c r="BI14" t="s">
        <v>86</v>
      </c>
      <c r="BJ14" t="s">
        <v>11</v>
      </c>
      <c r="BK14" t="s">
        <v>535</v>
      </c>
      <c r="BM14" t="s">
        <v>536</v>
      </c>
      <c r="BN14" t="s">
        <v>7</v>
      </c>
      <c r="BO14" s="3">
        <v>255268.74</v>
      </c>
      <c r="BP14" t="s">
        <v>87</v>
      </c>
      <c r="BQ14" t="s">
        <v>1085</v>
      </c>
      <c r="BR14" t="s">
        <v>526</v>
      </c>
      <c r="BS14" t="s">
        <v>88</v>
      </c>
      <c r="BT14" t="s">
        <v>88</v>
      </c>
      <c r="BU14" t="s">
        <v>1060</v>
      </c>
      <c r="BV14" s="2">
        <v>41913</v>
      </c>
      <c r="BW14" s="2">
        <v>43008</v>
      </c>
      <c r="BX14" t="s">
        <v>1061</v>
      </c>
      <c r="BY14" t="s">
        <v>1062</v>
      </c>
      <c r="BZ14" s="3">
        <v>258520</v>
      </c>
      <c r="CA14" s="3">
        <v>327000</v>
      </c>
      <c r="CB14" s="3">
        <v>258520</v>
      </c>
      <c r="CC14" t="s">
        <v>1060</v>
      </c>
      <c r="CD14" s="2">
        <v>41913</v>
      </c>
      <c r="CE14" s="2">
        <v>43008</v>
      </c>
      <c r="CF14" t="s">
        <v>1061</v>
      </c>
      <c r="CG14" t="s">
        <v>1062</v>
      </c>
      <c r="CH14" s="3">
        <v>258520</v>
      </c>
      <c r="CI14" s="3">
        <v>327000</v>
      </c>
      <c r="CJ14" s="3">
        <v>258520</v>
      </c>
      <c r="CK14" s="53">
        <v>156</v>
      </c>
    </row>
    <row r="15" spans="1:89">
      <c r="A15" t="s">
        <v>118</v>
      </c>
      <c r="B15" t="s">
        <v>10</v>
      </c>
      <c r="C15" t="s">
        <v>519</v>
      </c>
      <c r="D15" t="s">
        <v>6</v>
      </c>
      <c r="E15" s="1">
        <v>45.8</v>
      </c>
      <c r="F15" t="s">
        <v>80</v>
      </c>
      <c r="G15" t="s">
        <v>537</v>
      </c>
      <c r="H15" t="s">
        <v>538</v>
      </c>
      <c r="I15" t="s">
        <v>4</v>
      </c>
      <c r="J15" t="s">
        <v>521</v>
      </c>
      <c r="K15" t="s">
        <v>5</v>
      </c>
      <c r="L15" t="s">
        <v>528</v>
      </c>
      <c r="M15" t="s">
        <v>110</v>
      </c>
      <c r="N15" t="s">
        <v>248</v>
      </c>
      <c r="P15" t="s">
        <v>529</v>
      </c>
      <c r="R15" s="2">
        <v>41961</v>
      </c>
      <c r="U15" s="2">
        <v>42156</v>
      </c>
      <c r="V15" s="2">
        <v>42153</v>
      </c>
      <c r="W15" s="2">
        <v>41596</v>
      </c>
      <c r="X15" s="2">
        <v>41711</v>
      </c>
      <c r="Z15" s="2">
        <v>41701</v>
      </c>
      <c r="AA15" s="2">
        <v>42018</v>
      </c>
      <c r="AB15" t="s">
        <v>11</v>
      </c>
      <c r="AC15" s="2">
        <v>42012</v>
      </c>
      <c r="AD15" t="s">
        <v>18</v>
      </c>
      <c r="AE15" t="s">
        <v>83</v>
      </c>
      <c r="AF15" t="s">
        <v>82</v>
      </c>
      <c r="AG15" t="s">
        <v>83</v>
      </c>
      <c r="AH15" t="s">
        <v>1078</v>
      </c>
      <c r="AJ15" s="3">
        <v>200000</v>
      </c>
      <c r="AK15" s="3">
        <v>57000</v>
      </c>
      <c r="AO15" s="3">
        <v>57000</v>
      </c>
      <c r="AQ15" t="s">
        <v>539</v>
      </c>
      <c r="AR15" t="s">
        <v>83</v>
      </c>
      <c r="AS15" t="s">
        <v>83</v>
      </c>
      <c r="AT15" s="2">
        <v>42005</v>
      </c>
      <c r="AU15" t="s">
        <v>82</v>
      </c>
      <c r="AV15" t="s">
        <v>83</v>
      </c>
      <c r="AW15" s="2">
        <v>41961</v>
      </c>
      <c r="AX15" t="s">
        <v>84</v>
      </c>
      <c r="AY15" t="s">
        <v>82</v>
      </c>
      <c r="BA15" t="s">
        <v>85</v>
      </c>
      <c r="BC15" t="s">
        <v>82</v>
      </c>
      <c r="BH15" s="2">
        <v>41936</v>
      </c>
      <c r="BI15" t="s">
        <v>86</v>
      </c>
      <c r="BJ15" t="s">
        <v>11</v>
      </c>
      <c r="BK15" t="s">
        <v>540</v>
      </c>
      <c r="BM15" t="s">
        <v>536</v>
      </c>
      <c r="BN15" t="s">
        <v>223</v>
      </c>
      <c r="BO15" s="3">
        <v>117814.07</v>
      </c>
      <c r="BP15" t="s">
        <v>87</v>
      </c>
      <c r="BQ15" t="s">
        <v>1067</v>
      </c>
      <c r="BR15" t="s">
        <v>526</v>
      </c>
      <c r="BS15" t="s">
        <v>88</v>
      </c>
      <c r="BT15" t="s">
        <v>88</v>
      </c>
      <c r="BU15" t="s">
        <v>1060</v>
      </c>
      <c r="BV15" s="2">
        <v>41944</v>
      </c>
      <c r="BW15" s="2">
        <v>43039</v>
      </c>
      <c r="BX15" t="s">
        <v>1061</v>
      </c>
      <c r="BY15" t="s">
        <v>1062</v>
      </c>
      <c r="BZ15" s="3">
        <v>118960</v>
      </c>
      <c r="CA15" s="3">
        <v>142000</v>
      </c>
      <c r="CB15" s="3">
        <v>118960</v>
      </c>
      <c r="CC15" t="s">
        <v>1060</v>
      </c>
      <c r="CD15" s="2">
        <v>41944</v>
      </c>
      <c r="CE15" s="2">
        <v>43039</v>
      </c>
      <c r="CF15" t="s">
        <v>1061</v>
      </c>
      <c r="CG15" t="s">
        <v>1062</v>
      </c>
      <c r="CH15" s="3">
        <v>118960</v>
      </c>
      <c r="CI15" s="3">
        <v>142000</v>
      </c>
      <c r="CJ15" s="3">
        <v>118960</v>
      </c>
      <c r="CK15" s="53">
        <v>134</v>
      </c>
    </row>
    <row r="16" spans="1:89">
      <c r="A16" t="s">
        <v>541</v>
      </c>
      <c r="B16" t="s">
        <v>504</v>
      </c>
      <c r="C16" t="s">
        <v>519</v>
      </c>
      <c r="D16" t="s">
        <v>6</v>
      </c>
      <c r="E16" s="1">
        <v>7.38</v>
      </c>
      <c r="F16" t="s">
        <v>80</v>
      </c>
      <c r="G16" t="s">
        <v>11</v>
      </c>
      <c r="H16" t="s">
        <v>89</v>
      </c>
      <c r="I16" t="s">
        <v>4</v>
      </c>
      <c r="J16" t="s">
        <v>521</v>
      </c>
      <c r="K16" t="s">
        <v>5</v>
      </c>
      <c r="L16" t="s">
        <v>528</v>
      </c>
      <c r="M16" t="s">
        <v>110</v>
      </c>
      <c r="N16" t="s">
        <v>248</v>
      </c>
      <c r="P16" t="s">
        <v>522</v>
      </c>
      <c r="Q16" t="s">
        <v>110</v>
      </c>
      <c r="R16" s="2">
        <v>42009</v>
      </c>
      <c r="U16" s="2">
        <v>42131</v>
      </c>
      <c r="V16" s="2">
        <v>42089</v>
      </c>
      <c r="W16" s="2">
        <v>41645</v>
      </c>
      <c r="X16" s="2">
        <v>41711</v>
      </c>
      <c r="Z16" s="2">
        <v>41724</v>
      </c>
      <c r="AA16" s="2">
        <v>42018</v>
      </c>
      <c r="AB16" t="s">
        <v>11</v>
      </c>
      <c r="AC16" s="2">
        <v>42013</v>
      </c>
      <c r="AD16" t="s">
        <v>18</v>
      </c>
      <c r="AE16" t="s">
        <v>83</v>
      </c>
      <c r="AF16" t="s">
        <v>82</v>
      </c>
      <c r="AG16" t="s">
        <v>83</v>
      </c>
      <c r="AH16" t="s">
        <v>1086</v>
      </c>
      <c r="AJ16" s="3">
        <v>458000</v>
      </c>
      <c r="AK16" s="3">
        <v>231000</v>
      </c>
      <c r="AO16" s="3">
        <v>231000</v>
      </c>
      <c r="AQ16" t="s">
        <v>275</v>
      </c>
      <c r="AR16" t="s">
        <v>83</v>
      </c>
      <c r="AS16" t="s">
        <v>83</v>
      </c>
      <c r="AT16" s="2">
        <v>42005</v>
      </c>
      <c r="AU16" t="s">
        <v>82</v>
      </c>
      <c r="AV16" t="s">
        <v>83</v>
      </c>
      <c r="AW16" s="2">
        <v>42009</v>
      </c>
      <c r="AX16" t="s">
        <v>84</v>
      </c>
      <c r="AY16" t="s">
        <v>82</v>
      </c>
      <c r="BA16" t="s">
        <v>85</v>
      </c>
      <c r="BC16" t="s">
        <v>82</v>
      </c>
      <c r="BH16" s="2">
        <v>41936</v>
      </c>
      <c r="BI16" t="s">
        <v>86</v>
      </c>
      <c r="BJ16" t="s">
        <v>11</v>
      </c>
      <c r="BK16" t="s">
        <v>542</v>
      </c>
      <c r="BM16" t="s">
        <v>543</v>
      </c>
      <c r="BN16" t="s">
        <v>251</v>
      </c>
      <c r="BO16" s="3">
        <v>96808.99</v>
      </c>
      <c r="BP16" t="s">
        <v>87</v>
      </c>
      <c r="BQ16" t="s">
        <v>1087</v>
      </c>
      <c r="BR16" t="s">
        <v>526</v>
      </c>
      <c r="BS16" t="s">
        <v>88</v>
      </c>
      <c r="BT16" t="s">
        <v>88</v>
      </c>
      <c r="BU16" t="s">
        <v>1060</v>
      </c>
      <c r="BV16" s="2">
        <v>42005</v>
      </c>
      <c r="BW16" s="2">
        <v>43100</v>
      </c>
      <c r="BX16" t="s">
        <v>1061</v>
      </c>
      <c r="BY16" t="s">
        <v>1062</v>
      </c>
      <c r="BZ16" s="3">
        <v>97280</v>
      </c>
      <c r="CA16" s="3">
        <v>180000</v>
      </c>
      <c r="CB16" s="3">
        <v>97280</v>
      </c>
      <c r="CC16" t="s">
        <v>1060</v>
      </c>
      <c r="CD16" s="2">
        <v>42005</v>
      </c>
      <c r="CE16" s="2">
        <v>43100</v>
      </c>
      <c r="CF16" t="s">
        <v>1061</v>
      </c>
      <c r="CG16" t="s">
        <v>1062</v>
      </c>
      <c r="CH16" s="3">
        <v>97280</v>
      </c>
      <c r="CI16" s="3">
        <v>180000</v>
      </c>
      <c r="CJ16" s="3">
        <v>97280</v>
      </c>
      <c r="CK16" s="53">
        <v>139</v>
      </c>
    </row>
    <row r="17" spans="1:89">
      <c r="A17" t="s">
        <v>544</v>
      </c>
      <c r="B17" t="s">
        <v>230</v>
      </c>
      <c r="C17" t="s">
        <v>519</v>
      </c>
      <c r="D17" t="s">
        <v>6</v>
      </c>
      <c r="E17" s="1">
        <v>34.53</v>
      </c>
      <c r="F17" t="s">
        <v>80</v>
      </c>
      <c r="G17" t="s">
        <v>17</v>
      </c>
      <c r="H17" t="s">
        <v>520</v>
      </c>
      <c r="I17" t="s">
        <v>4</v>
      </c>
      <c r="J17" t="s">
        <v>521</v>
      </c>
      <c r="K17" t="s">
        <v>5</v>
      </c>
      <c r="L17" t="s">
        <v>545</v>
      </c>
      <c r="N17" t="s">
        <v>112</v>
      </c>
      <c r="P17" t="s">
        <v>522</v>
      </c>
      <c r="Q17" t="s">
        <v>110</v>
      </c>
      <c r="R17" s="2">
        <v>41960</v>
      </c>
      <c r="U17" s="2">
        <v>42193</v>
      </c>
      <c r="V17" s="2">
        <v>42151</v>
      </c>
      <c r="W17" s="2">
        <v>41653</v>
      </c>
      <c r="X17" s="2">
        <v>41725</v>
      </c>
      <c r="Z17" s="2">
        <v>41862</v>
      </c>
      <c r="AA17" s="2">
        <v>42018</v>
      </c>
      <c r="AB17" t="s">
        <v>11</v>
      </c>
      <c r="AC17" s="2">
        <v>42013</v>
      </c>
      <c r="AD17" t="s">
        <v>18</v>
      </c>
      <c r="AE17" t="s">
        <v>83</v>
      </c>
      <c r="AF17" t="s">
        <v>82</v>
      </c>
      <c r="AG17" t="s">
        <v>83</v>
      </c>
      <c r="AH17" t="s">
        <v>1088</v>
      </c>
      <c r="AJ17" s="3">
        <v>780000</v>
      </c>
      <c r="AK17" s="3">
        <v>431000</v>
      </c>
      <c r="AO17" s="3">
        <v>431000</v>
      </c>
      <c r="AQ17" t="s">
        <v>110</v>
      </c>
      <c r="AR17" t="s">
        <v>83</v>
      </c>
      <c r="AS17" t="s">
        <v>83</v>
      </c>
      <c r="AT17" s="2">
        <v>42005</v>
      </c>
      <c r="AU17" t="s">
        <v>82</v>
      </c>
      <c r="AV17" t="s">
        <v>83</v>
      </c>
      <c r="AW17" s="2">
        <v>41960</v>
      </c>
      <c r="AX17" t="s">
        <v>84</v>
      </c>
      <c r="AY17" t="s">
        <v>82</v>
      </c>
      <c r="BA17" t="s">
        <v>85</v>
      </c>
      <c r="BC17" t="s">
        <v>82</v>
      </c>
      <c r="BH17" s="2">
        <v>41938</v>
      </c>
      <c r="BI17" t="s">
        <v>86</v>
      </c>
      <c r="BJ17" t="s">
        <v>11</v>
      </c>
      <c r="BK17" t="s">
        <v>547</v>
      </c>
      <c r="BM17" t="s">
        <v>525</v>
      </c>
      <c r="BN17" t="s">
        <v>7</v>
      </c>
      <c r="BO17" s="3">
        <v>337496.88</v>
      </c>
      <c r="BP17" t="s">
        <v>87</v>
      </c>
      <c r="BQ17" t="s">
        <v>1089</v>
      </c>
      <c r="BR17" t="s">
        <v>526</v>
      </c>
      <c r="BS17" t="s">
        <v>88</v>
      </c>
      <c r="BT17" t="s">
        <v>88</v>
      </c>
      <c r="BU17" t="s">
        <v>1060</v>
      </c>
      <c r="BV17" s="2">
        <v>41944</v>
      </c>
      <c r="BW17" s="2">
        <v>43039</v>
      </c>
      <c r="BX17" t="s">
        <v>1061</v>
      </c>
      <c r="BY17" t="s">
        <v>1062</v>
      </c>
      <c r="BZ17" s="3">
        <v>337800</v>
      </c>
      <c r="CA17" s="3">
        <v>400000</v>
      </c>
      <c r="CB17" s="3">
        <v>337800</v>
      </c>
      <c r="CC17" t="s">
        <v>1060</v>
      </c>
      <c r="CD17" s="2">
        <v>41944</v>
      </c>
      <c r="CE17" s="2">
        <v>43039</v>
      </c>
      <c r="CF17" t="s">
        <v>1061</v>
      </c>
      <c r="CG17" t="s">
        <v>1062</v>
      </c>
      <c r="CH17" s="3">
        <v>337800</v>
      </c>
      <c r="CI17" s="3">
        <v>400000</v>
      </c>
      <c r="CJ17" s="3">
        <v>337800</v>
      </c>
      <c r="CK17" s="53">
        <v>137</v>
      </c>
    </row>
    <row r="18" spans="1:89">
      <c r="A18" t="s">
        <v>548</v>
      </c>
      <c r="B18" t="s">
        <v>15</v>
      </c>
      <c r="C18" t="s">
        <v>519</v>
      </c>
      <c r="D18" t="s">
        <v>6</v>
      </c>
      <c r="E18" s="1">
        <v>46.3</v>
      </c>
      <c r="F18" t="s">
        <v>80</v>
      </c>
      <c r="G18" t="s">
        <v>9</v>
      </c>
      <c r="H18" t="s">
        <v>520</v>
      </c>
      <c r="I18" t="s">
        <v>4</v>
      </c>
      <c r="J18" t="s">
        <v>521</v>
      </c>
      <c r="K18" t="s">
        <v>5</v>
      </c>
      <c r="L18" t="s">
        <v>528</v>
      </c>
      <c r="M18" t="s">
        <v>110</v>
      </c>
      <c r="N18" t="s">
        <v>112</v>
      </c>
      <c r="P18" t="s">
        <v>529</v>
      </c>
      <c r="R18" s="2">
        <v>41857</v>
      </c>
      <c r="U18" s="2">
        <v>42164</v>
      </c>
      <c r="V18" s="2">
        <v>42122</v>
      </c>
      <c r="W18" s="2">
        <v>41645</v>
      </c>
      <c r="X18" s="2">
        <v>41715</v>
      </c>
      <c r="Z18" s="2">
        <v>41866</v>
      </c>
      <c r="AA18" s="2">
        <v>42018</v>
      </c>
      <c r="AB18" t="s">
        <v>11</v>
      </c>
      <c r="AC18" s="2">
        <v>42013</v>
      </c>
      <c r="AD18" t="s">
        <v>18</v>
      </c>
      <c r="AE18" t="s">
        <v>83</v>
      </c>
      <c r="AF18" t="s">
        <v>82</v>
      </c>
      <c r="AG18" t="s">
        <v>83</v>
      </c>
      <c r="AH18" t="s">
        <v>546</v>
      </c>
      <c r="AJ18" s="3">
        <v>400000</v>
      </c>
      <c r="AK18" s="3">
        <v>230000</v>
      </c>
      <c r="AO18" s="3">
        <v>230000</v>
      </c>
      <c r="AQ18" t="s">
        <v>549</v>
      </c>
      <c r="AR18" t="s">
        <v>83</v>
      </c>
      <c r="AS18" t="s">
        <v>83</v>
      </c>
      <c r="AT18" s="2">
        <v>42005</v>
      </c>
      <c r="AU18" t="s">
        <v>82</v>
      </c>
      <c r="AV18" t="s">
        <v>83</v>
      </c>
      <c r="AW18" s="2">
        <v>41857</v>
      </c>
      <c r="AX18" t="s">
        <v>84</v>
      </c>
      <c r="AY18" t="s">
        <v>82</v>
      </c>
      <c r="BA18" t="s">
        <v>85</v>
      </c>
      <c r="BC18" t="s">
        <v>82</v>
      </c>
      <c r="BH18" s="2">
        <v>41936</v>
      </c>
      <c r="BI18" t="s">
        <v>86</v>
      </c>
      <c r="BJ18" t="s">
        <v>11</v>
      </c>
      <c r="BK18" t="s">
        <v>550</v>
      </c>
      <c r="BM18" t="s">
        <v>536</v>
      </c>
      <c r="BN18" t="s">
        <v>112</v>
      </c>
      <c r="BO18" s="3">
        <v>361330.44</v>
      </c>
      <c r="BP18" t="s">
        <v>87</v>
      </c>
      <c r="BQ18" t="s">
        <v>1063</v>
      </c>
      <c r="BR18" t="s">
        <v>526</v>
      </c>
      <c r="BS18" t="s">
        <v>88</v>
      </c>
      <c r="BT18" t="s">
        <v>88</v>
      </c>
      <c r="BU18" t="s">
        <v>1060</v>
      </c>
      <c r="BV18" s="2">
        <v>41852</v>
      </c>
      <c r="BW18" s="2">
        <v>42947</v>
      </c>
      <c r="BX18" t="s">
        <v>1061</v>
      </c>
      <c r="BY18" t="s">
        <v>1062</v>
      </c>
      <c r="BZ18" s="3">
        <v>365740</v>
      </c>
      <c r="CA18" s="3">
        <v>570000</v>
      </c>
      <c r="CB18" s="3">
        <v>365740</v>
      </c>
      <c r="CC18" t="s">
        <v>1060</v>
      </c>
      <c r="CD18" s="2">
        <v>41852</v>
      </c>
      <c r="CE18" s="2">
        <v>42947</v>
      </c>
      <c r="CF18" t="s">
        <v>1061</v>
      </c>
      <c r="CG18" t="s">
        <v>1062</v>
      </c>
      <c r="CH18" s="3">
        <v>365740</v>
      </c>
      <c r="CI18" s="3">
        <v>570000</v>
      </c>
      <c r="CJ18" s="3">
        <v>365740</v>
      </c>
      <c r="CK18" s="53">
        <v>142</v>
      </c>
    </row>
    <row r="19" spans="1:89">
      <c r="A19" t="s">
        <v>1090</v>
      </c>
      <c r="B19" t="s">
        <v>1091</v>
      </c>
      <c r="C19" t="s">
        <v>519</v>
      </c>
      <c r="D19" t="s">
        <v>6</v>
      </c>
      <c r="E19" s="1">
        <v>20.53</v>
      </c>
      <c r="F19" t="s">
        <v>80</v>
      </c>
      <c r="G19" t="s">
        <v>557</v>
      </c>
      <c r="H19" t="s">
        <v>520</v>
      </c>
      <c r="I19" t="s">
        <v>4</v>
      </c>
      <c r="J19" t="s">
        <v>521</v>
      </c>
      <c r="K19" t="s">
        <v>5</v>
      </c>
      <c r="L19" t="s">
        <v>545</v>
      </c>
      <c r="N19" t="s">
        <v>249</v>
      </c>
      <c r="P19" t="s">
        <v>529</v>
      </c>
      <c r="R19" s="2">
        <v>42010</v>
      </c>
      <c r="U19" s="2">
        <v>42177</v>
      </c>
      <c r="V19" s="2">
        <v>42177</v>
      </c>
      <c r="X19" s="2">
        <v>42117</v>
      </c>
      <c r="Y19" s="2">
        <v>42117</v>
      </c>
      <c r="Z19" s="2">
        <v>42177</v>
      </c>
      <c r="AA19" s="2">
        <v>42117</v>
      </c>
      <c r="AB19" t="s">
        <v>11</v>
      </c>
      <c r="AC19" s="2">
        <v>42117</v>
      </c>
      <c r="AD19" t="s">
        <v>18</v>
      </c>
      <c r="AE19" t="s">
        <v>83</v>
      </c>
      <c r="AF19" t="s">
        <v>82</v>
      </c>
      <c r="AG19" t="s">
        <v>83</v>
      </c>
      <c r="AH19" t="s">
        <v>1088</v>
      </c>
      <c r="AO19" s="3">
        <v>0</v>
      </c>
      <c r="AQ19" t="s">
        <v>1092</v>
      </c>
      <c r="AR19" t="s">
        <v>83</v>
      </c>
      <c r="AS19" t="s">
        <v>83</v>
      </c>
      <c r="AU19" t="s">
        <v>82</v>
      </c>
      <c r="AV19" t="s">
        <v>82</v>
      </c>
      <c r="AW19" s="2">
        <v>42010</v>
      </c>
      <c r="AX19" t="s">
        <v>84</v>
      </c>
      <c r="AY19" t="s">
        <v>82</v>
      </c>
      <c r="BA19" t="s">
        <v>85</v>
      </c>
      <c r="BC19" t="s">
        <v>82</v>
      </c>
      <c r="BH19" s="2">
        <v>42117</v>
      </c>
      <c r="BI19" t="s">
        <v>86</v>
      </c>
      <c r="BJ19" t="s">
        <v>11</v>
      </c>
      <c r="BK19" t="s">
        <v>1093</v>
      </c>
      <c r="BM19" t="s">
        <v>525</v>
      </c>
      <c r="BN19" t="s">
        <v>564</v>
      </c>
      <c r="BO19" s="3">
        <v>24639.5</v>
      </c>
      <c r="BP19" t="s">
        <v>87</v>
      </c>
      <c r="BQ19" t="s">
        <v>1094</v>
      </c>
      <c r="BR19" t="s">
        <v>526</v>
      </c>
      <c r="BS19" t="s">
        <v>88</v>
      </c>
      <c r="BT19" t="s">
        <v>88</v>
      </c>
      <c r="BU19" t="s">
        <v>1060</v>
      </c>
      <c r="BV19" s="2">
        <v>42005</v>
      </c>
      <c r="BW19" s="2">
        <v>43100</v>
      </c>
      <c r="BX19" t="s">
        <v>1061</v>
      </c>
      <c r="BY19" t="s">
        <v>1062</v>
      </c>
      <c r="BZ19" s="3">
        <v>24640</v>
      </c>
      <c r="CA19" s="3">
        <v>0</v>
      </c>
      <c r="CB19" s="3">
        <v>24640</v>
      </c>
      <c r="CC19" t="s">
        <v>1060</v>
      </c>
      <c r="CD19" s="2">
        <v>42005</v>
      </c>
      <c r="CE19" s="2">
        <v>43100</v>
      </c>
      <c r="CF19" t="s">
        <v>1061</v>
      </c>
      <c r="CG19" t="s">
        <v>1062</v>
      </c>
      <c r="CH19" s="3">
        <v>24640</v>
      </c>
      <c r="CI19" s="3">
        <v>0</v>
      </c>
      <c r="CJ19" s="3">
        <v>24640</v>
      </c>
      <c r="CK19" s="53">
        <v>175</v>
      </c>
    </row>
    <row r="20" spans="1:89">
      <c r="A20" t="s">
        <v>551</v>
      </c>
      <c r="B20" t="s">
        <v>127</v>
      </c>
      <c r="C20" t="s">
        <v>519</v>
      </c>
      <c r="D20" t="s">
        <v>130</v>
      </c>
      <c r="E20" s="1">
        <v>14.19</v>
      </c>
      <c r="F20" t="s">
        <v>80</v>
      </c>
      <c r="G20" t="s">
        <v>17</v>
      </c>
      <c r="H20" t="s">
        <v>520</v>
      </c>
      <c r="I20" t="s">
        <v>4</v>
      </c>
      <c r="J20" t="s">
        <v>521</v>
      </c>
      <c r="K20" t="s">
        <v>5</v>
      </c>
      <c r="L20" t="s">
        <v>528</v>
      </c>
      <c r="M20" t="s">
        <v>110</v>
      </c>
      <c r="N20" t="s">
        <v>532</v>
      </c>
      <c r="P20" t="s">
        <v>522</v>
      </c>
      <c r="Q20" t="s">
        <v>110</v>
      </c>
      <c r="R20" s="2">
        <v>41750</v>
      </c>
      <c r="U20" s="2">
        <v>42018</v>
      </c>
      <c r="V20" s="2">
        <v>41976</v>
      </c>
      <c r="W20" s="2">
        <v>41533</v>
      </c>
      <c r="X20" s="2">
        <v>42012</v>
      </c>
      <c r="Z20" s="2">
        <v>41698</v>
      </c>
      <c r="AA20" s="2">
        <v>42018</v>
      </c>
      <c r="AB20" t="s">
        <v>11</v>
      </c>
      <c r="AC20" s="2">
        <v>42012</v>
      </c>
      <c r="AD20" t="s">
        <v>19</v>
      </c>
      <c r="AE20" t="s">
        <v>83</v>
      </c>
      <c r="AF20" t="s">
        <v>82</v>
      </c>
      <c r="AG20" t="s">
        <v>83</v>
      </c>
      <c r="AH20" t="s">
        <v>546</v>
      </c>
      <c r="AJ20" s="3">
        <v>700000</v>
      </c>
      <c r="AK20" s="3">
        <v>233000</v>
      </c>
      <c r="AO20" s="3">
        <v>233000</v>
      </c>
      <c r="AQ20" t="s">
        <v>118</v>
      </c>
      <c r="AR20" t="s">
        <v>83</v>
      </c>
      <c r="AS20" t="s">
        <v>83</v>
      </c>
      <c r="AT20" s="2">
        <v>42005</v>
      </c>
      <c r="AU20" t="s">
        <v>82</v>
      </c>
      <c r="AV20" t="s">
        <v>83</v>
      </c>
      <c r="AW20" s="2">
        <v>41750</v>
      </c>
      <c r="AX20" t="s">
        <v>84</v>
      </c>
      <c r="AY20" t="s">
        <v>82</v>
      </c>
      <c r="BA20" t="s">
        <v>85</v>
      </c>
      <c r="BC20" t="s">
        <v>82</v>
      </c>
      <c r="BH20" s="2">
        <v>41936</v>
      </c>
      <c r="BI20" t="s">
        <v>86</v>
      </c>
      <c r="BJ20" t="s">
        <v>11</v>
      </c>
      <c r="BK20" t="s">
        <v>552</v>
      </c>
      <c r="BM20" t="s">
        <v>525</v>
      </c>
      <c r="BN20" t="s">
        <v>251</v>
      </c>
      <c r="BO20" s="3">
        <v>182674.64</v>
      </c>
      <c r="BP20" t="s">
        <v>87</v>
      </c>
      <c r="BQ20" t="s">
        <v>1095</v>
      </c>
      <c r="BR20" t="s">
        <v>526</v>
      </c>
      <c r="BS20" t="s">
        <v>88</v>
      </c>
      <c r="BT20" t="s">
        <v>88</v>
      </c>
      <c r="BU20" t="s">
        <v>1060</v>
      </c>
      <c r="BV20" s="2">
        <v>41730</v>
      </c>
      <c r="BW20" s="2">
        <v>42825</v>
      </c>
      <c r="BX20" t="s">
        <v>1061</v>
      </c>
      <c r="BY20" t="s">
        <v>1062</v>
      </c>
      <c r="BZ20" s="3">
        <v>185880</v>
      </c>
      <c r="CA20" s="3">
        <v>250000</v>
      </c>
      <c r="CB20" s="3">
        <v>185880</v>
      </c>
      <c r="CC20" t="s">
        <v>1060</v>
      </c>
      <c r="CD20" s="2">
        <v>41730</v>
      </c>
      <c r="CE20" s="2">
        <v>42825</v>
      </c>
      <c r="CF20" t="s">
        <v>1061</v>
      </c>
      <c r="CG20" t="s">
        <v>1062</v>
      </c>
      <c r="CH20" s="3">
        <v>185880</v>
      </c>
      <c r="CI20" s="3">
        <v>250000</v>
      </c>
      <c r="CJ20" s="3">
        <v>185880</v>
      </c>
      <c r="CK20" s="53">
        <v>193</v>
      </c>
    </row>
    <row r="21" spans="1:89">
      <c r="A21" t="s">
        <v>553</v>
      </c>
      <c r="B21" t="s">
        <v>8</v>
      </c>
      <c r="C21" t="s">
        <v>519</v>
      </c>
      <c r="D21" t="s">
        <v>6</v>
      </c>
      <c r="E21" s="1">
        <v>56.78</v>
      </c>
      <c r="F21" t="s">
        <v>80</v>
      </c>
      <c r="G21" t="s">
        <v>14</v>
      </c>
      <c r="H21" t="s">
        <v>520</v>
      </c>
      <c r="I21" t="s">
        <v>4</v>
      </c>
      <c r="J21" t="s">
        <v>521</v>
      </c>
      <c r="K21" t="s">
        <v>5</v>
      </c>
      <c r="L21" t="s">
        <v>528</v>
      </c>
      <c r="M21" t="s">
        <v>110</v>
      </c>
      <c r="N21" t="s">
        <v>248</v>
      </c>
      <c r="P21" t="s">
        <v>529</v>
      </c>
      <c r="R21" s="2">
        <v>41877</v>
      </c>
      <c r="U21" s="2">
        <v>42145</v>
      </c>
      <c r="V21" s="2">
        <v>42103</v>
      </c>
      <c r="W21" s="2">
        <v>41564</v>
      </c>
      <c r="X21" s="2">
        <v>41697</v>
      </c>
      <c r="Z21" s="2">
        <v>41782</v>
      </c>
      <c r="AA21" s="2">
        <v>42018</v>
      </c>
      <c r="AB21" t="s">
        <v>11</v>
      </c>
      <c r="AC21" s="2">
        <v>42012</v>
      </c>
      <c r="AD21" t="s">
        <v>18</v>
      </c>
      <c r="AE21" t="s">
        <v>83</v>
      </c>
      <c r="AF21" t="s">
        <v>82</v>
      </c>
      <c r="AG21" t="s">
        <v>83</v>
      </c>
      <c r="AH21" t="s">
        <v>546</v>
      </c>
      <c r="AJ21" s="3">
        <v>130000</v>
      </c>
      <c r="AK21" s="3">
        <v>57000</v>
      </c>
      <c r="AO21" s="3">
        <v>57000</v>
      </c>
      <c r="AQ21" t="s">
        <v>551</v>
      </c>
      <c r="AR21" t="s">
        <v>83</v>
      </c>
      <c r="AS21" t="s">
        <v>83</v>
      </c>
      <c r="AT21" s="2">
        <v>42005</v>
      </c>
      <c r="AU21" t="s">
        <v>82</v>
      </c>
      <c r="AV21" t="s">
        <v>83</v>
      </c>
      <c r="AW21" s="2">
        <v>41877</v>
      </c>
      <c r="AX21" t="s">
        <v>84</v>
      </c>
      <c r="AY21" t="s">
        <v>82</v>
      </c>
      <c r="BA21" t="s">
        <v>85</v>
      </c>
      <c r="BC21" t="s">
        <v>82</v>
      </c>
      <c r="BH21" s="2">
        <v>41936</v>
      </c>
      <c r="BI21" t="s">
        <v>86</v>
      </c>
      <c r="BJ21" t="s">
        <v>11</v>
      </c>
      <c r="BK21" t="s">
        <v>554</v>
      </c>
      <c r="BM21" t="s">
        <v>536</v>
      </c>
      <c r="BN21" t="s">
        <v>223</v>
      </c>
      <c r="BO21" s="3">
        <v>146909.22</v>
      </c>
      <c r="BP21" t="s">
        <v>87</v>
      </c>
      <c r="BQ21" t="s">
        <v>1065</v>
      </c>
      <c r="BR21" t="s">
        <v>526</v>
      </c>
      <c r="BS21" t="s">
        <v>88</v>
      </c>
      <c r="BT21" t="s">
        <v>88</v>
      </c>
      <c r="BU21" t="s">
        <v>1060</v>
      </c>
      <c r="BV21" s="2">
        <v>41852</v>
      </c>
      <c r="BW21" s="2">
        <v>42947</v>
      </c>
      <c r="BX21" t="s">
        <v>1061</v>
      </c>
      <c r="BY21" t="s">
        <v>1062</v>
      </c>
      <c r="BZ21" s="3">
        <v>149080</v>
      </c>
      <c r="CA21" s="3">
        <v>180000</v>
      </c>
      <c r="CB21" s="3">
        <v>149080</v>
      </c>
      <c r="CC21" t="s">
        <v>1060</v>
      </c>
      <c r="CD21" s="2">
        <v>41852</v>
      </c>
      <c r="CE21" s="2">
        <v>42947</v>
      </c>
      <c r="CF21" t="s">
        <v>1061</v>
      </c>
      <c r="CG21" t="s">
        <v>1062</v>
      </c>
      <c r="CH21" s="3">
        <v>149080</v>
      </c>
      <c r="CI21" s="3">
        <v>180000</v>
      </c>
      <c r="CJ21" s="3">
        <v>149080</v>
      </c>
      <c r="CK21" s="53">
        <v>198</v>
      </c>
    </row>
    <row r="22" spans="1:89">
      <c r="A22" t="s">
        <v>555</v>
      </c>
      <c r="B22" t="s">
        <v>119</v>
      </c>
      <c r="C22" t="s">
        <v>519</v>
      </c>
      <c r="D22" t="s">
        <v>6</v>
      </c>
      <c r="E22" s="1">
        <v>72</v>
      </c>
      <c r="F22" t="s">
        <v>556</v>
      </c>
      <c r="G22" t="s">
        <v>557</v>
      </c>
      <c r="H22" t="s">
        <v>195</v>
      </c>
      <c r="I22" t="s">
        <v>558</v>
      </c>
      <c r="J22" t="s">
        <v>521</v>
      </c>
      <c r="K22" t="s">
        <v>5</v>
      </c>
      <c r="L22" t="s">
        <v>112</v>
      </c>
      <c r="N22" t="s">
        <v>112</v>
      </c>
      <c r="P22" t="s">
        <v>529</v>
      </c>
      <c r="R22" s="2">
        <v>41820</v>
      </c>
      <c r="U22" s="2">
        <v>42283</v>
      </c>
      <c r="V22" s="2">
        <v>42241</v>
      </c>
      <c r="W22" s="2">
        <v>41586</v>
      </c>
      <c r="X22" s="2">
        <v>41695</v>
      </c>
      <c r="Z22" s="2">
        <v>41877</v>
      </c>
      <c r="AA22" s="2">
        <v>42018</v>
      </c>
      <c r="AB22" t="s">
        <v>11</v>
      </c>
      <c r="AC22" s="2">
        <v>42012</v>
      </c>
      <c r="AD22" t="s">
        <v>18</v>
      </c>
      <c r="AE22" t="s">
        <v>83</v>
      </c>
      <c r="AF22" t="s">
        <v>82</v>
      </c>
      <c r="AG22" t="s">
        <v>83</v>
      </c>
      <c r="AH22" t="s">
        <v>559</v>
      </c>
      <c r="AJ22" s="3">
        <v>300000</v>
      </c>
      <c r="AK22" s="3">
        <v>125000</v>
      </c>
      <c r="AO22" s="3">
        <v>125000</v>
      </c>
      <c r="AQ22" t="s">
        <v>111</v>
      </c>
      <c r="AR22" t="s">
        <v>83</v>
      </c>
      <c r="AS22" t="s">
        <v>83</v>
      </c>
      <c r="AT22" s="2">
        <v>42005</v>
      </c>
      <c r="AU22" t="s">
        <v>82</v>
      </c>
      <c r="AV22" t="s">
        <v>83</v>
      </c>
      <c r="AW22" s="2">
        <v>41820</v>
      </c>
      <c r="AX22" t="s">
        <v>84</v>
      </c>
      <c r="AY22" t="s">
        <v>82</v>
      </c>
      <c r="BA22" t="s">
        <v>85</v>
      </c>
      <c r="BC22" t="s">
        <v>82</v>
      </c>
      <c r="BH22" s="2">
        <v>41936</v>
      </c>
      <c r="BI22" t="s">
        <v>86</v>
      </c>
      <c r="BJ22" t="s">
        <v>11</v>
      </c>
      <c r="BK22" t="s">
        <v>560</v>
      </c>
      <c r="BM22" t="s">
        <v>536</v>
      </c>
      <c r="BN22" t="s">
        <v>112</v>
      </c>
      <c r="BO22" s="3">
        <v>207253.31</v>
      </c>
      <c r="BP22" t="s">
        <v>87</v>
      </c>
      <c r="BQ22" t="s">
        <v>1089</v>
      </c>
      <c r="BR22" t="s">
        <v>526</v>
      </c>
      <c r="BS22" t="s">
        <v>88</v>
      </c>
      <c r="BT22" t="s">
        <v>88</v>
      </c>
      <c r="BU22" t="s">
        <v>1060</v>
      </c>
      <c r="BV22" s="2">
        <v>41791</v>
      </c>
      <c r="BW22" s="2">
        <v>42886</v>
      </c>
      <c r="BX22" t="s">
        <v>1061</v>
      </c>
      <c r="BY22" t="s">
        <v>1062</v>
      </c>
      <c r="BZ22" s="3">
        <v>211760</v>
      </c>
      <c r="CA22" s="3">
        <v>250000</v>
      </c>
      <c r="CB22" s="3">
        <v>211760</v>
      </c>
      <c r="CC22" t="s">
        <v>1060</v>
      </c>
      <c r="CD22" s="2">
        <v>41791</v>
      </c>
      <c r="CE22" s="2">
        <v>42886</v>
      </c>
      <c r="CF22" t="s">
        <v>1061</v>
      </c>
      <c r="CG22" t="s">
        <v>1062</v>
      </c>
      <c r="CH22" s="3">
        <v>211760</v>
      </c>
      <c r="CI22" s="3">
        <v>250000</v>
      </c>
      <c r="CJ22" s="3">
        <v>211760</v>
      </c>
      <c r="CK22" s="53">
        <v>129</v>
      </c>
    </row>
  </sheetData>
  <pageMargins left="0.75" right="0.75" top="1" bottom="1" header="0.5" footer="0.5"/>
  <pageSetup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sheetPr codeName="Sheet6"/>
  <dimension ref="A1:BA130"/>
  <sheetViews>
    <sheetView topLeftCell="L1" workbookViewId="0">
      <pane xSplit="2" ySplit="1" topLeftCell="N110" activePane="bottomRight" state="frozen"/>
      <selection activeCell="L1" sqref="L1"/>
      <selection pane="topRight" activeCell="N1" sqref="N1"/>
      <selection pane="bottomLeft" activeCell="L2" sqref="L2"/>
      <selection pane="bottomRight" activeCell="L130" sqref="L130"/>
    </sheetView>
  </sheetViews>
  <sheetFormatPr defaultRowHeight="12.75"/>
  <cols>
    <col min="1" max="1" width="21.5703125" bestFit="1" customWidth="1"/>
    <col min="2" max="2" width="13.42578125" bestFit="1" customWidth="1"/>
    <col min="3" max="3" width="22.140625" bestFit="1" customWidth="1"/>
    <col min="4" max="4" width="16" bestFit="1" customWidth="1"/>
    <col min="5" max="5" width="14.28515625" bestFit="1" customWidth="1"/>
    <col min="6" max="6" width="11.85546875" bestFit="1" customWidth="1"/>
    <col min="7" max="7" width="22.42578125" bestFit="1" customWidth="1"/>
    <col min="8" max="8" width="22.28515625" bestFit="1" customWidth="1"/>
    <col min="9" max="9" width="23.5703125" bestFit="1" customWidth="1"/>
    <col min="10" max="10" width="10.7109375" bestFit="1" customWidth="1"/>
    <col min="11" max="11" width="16.5703125" bestFit="1" customWidth="1"/>
    <col min="13" max="13" width="14" bestFit="1" customWidth="1"/>
    <col min="14" max="14" width="18.5703125" customWidth="1"/>
    <col min="15" max="15" width="49.7109375" bestFit="1" customWidth="1"/>
    <col min="16" max="36" width="9.140625" customWidth="1"/>
    <col min="51" max="51" width="16.7109375" bestFit="1" customWidth="1"/>
  </cols>
  <sheetData>
    <row r="1" spans="1:53">
      <c r="A1" t="s">
        <v>247</v>
      </c>
      <c r="B1" t="s">
        <v>246</v>
      </c>
      <c r="C1" t="s">
        <v>245</v>
      </c>
      <c r="D1" t="s">
        <v>508</v>
      </c>
      <c r="E1" t="s">
        <v>31</v>
      </c>
      <c r="F1" t="s">
        <v>244</v>
      </c>
      <c r="G1" t="s">
        <v>35</v>
      </c>
      <c r="H1" t="s">
        <v>243</v>
      </c>
      <c r="I1" t="s">
        <v>242</v>
      </c>
      <c r="J1" t="s">
        <v>510</v>
      </c>
      <c r="K1" t="s">
        <v>40</v>
      </c>
      <c r="L1" t="s">
        <v>1096</v>
      </c>
      <c r="M1" t="s">
        <v>241</v>
      </c>
      <c r="N1" t="s">
        <v>240</v>
      </c>
      <c r="O1" t="s">
        <v>46</v>
      </c>
      <c r="P1" t="s">
        <v>1097</v>
      </c>
      <c r="Q1" t="s">
        <v>30</v>
      </c>
      <c r="R1" t="s">
        <v>507</v>
      </c>
      <c r="S1" t="s">
        <v>69</v>
      </c>
      <c r="T1" t="s">
        <v>239</v>
      </c>
      <c r="U1" t="s">
        <v>106</v>
      </c>
      <c r="V1" t="s">
        <v>238</v>
      </c>
      <c r="W1" t="s">
        <v>237</v>
      </c>
      <c r="X1" t="s">
        <v>601</v>
      </c>
      <c r="Y1" t="s">
        <v>602</v>
      </c>
      <c r="Z1" t="s">
        <v>603</v>
      </c>
      <c r="AA1" t="s">
        <v>604</v>
      </c>
      <c r="AB1" t="s">
        <v>605</v>
      </c>
      <c r="AC1" t="s">
        <v>606</v>
      </c>
      <c r="AD1" t="s">
        <v>607</v>
      </c>
      <c r="AE1" t="s">
        <v>608</v>
      </c>
      <c r="AF1" t="s">
        <v>609</v>
      </c>
      <c r="AG1" t="s">
        <v>309</v>
      </c>
      <c r="AH1" t="s">
        <v>108</v>
      </c>
      <c r="AI1" t="s">
        <v>512</v>
      </c>
      <c r="AJ1" t="s">
        <v>236</v>
      </c>
      <c r="AK1" t="s">
        <v>23</v>
      </c>
      <c r="AL1" t="s">
        <v>235</v>
      </c>
      <c r="AM1" t="s">
        <v>41</v>
      </c>
      <c r="AN1" t="s">
        <v>234</v>
      </c>
      <c r="AO1" t="s">
        <v>610</v>
      </c>
      <c r="AP1" t="s">
        <v>1098</v>
      </c>
      <c r="AQ1" t="s">
        <v>513</v>
      </c>
      <c r="AR1" t="s">
        <v>514</v>
      </c>
      <c r="AS1" t="s">
        <v>515</v>
      </c>
      <c r="AT1" t="s">
        <v>516</v>
      </c>
      <c r="AU1" t="s">
        <v>232</v>
      </c>
      <c r="AV1" t="s">
        <v>231</v>
      </c>
      <c r="AW1" t="s">
        <v>22</v>
      </c>
      <c r="AX1" t="s">
        <v>233</v>
      </c>
      <c r="AY1" t="s">
        <v>611</v>
      </c>
      <c r="AZ1" t="s">
        <v>3</v>
      </c>
      <c r="BA1" s="53" t="s">
        <v>1137</v>
      </c>
    </row>
    <row r="2" spans="1:53">
      <c r="A2" t="s">
        <v>11</v>
      </c>
      <c r="B2" s="2">
        <v>41698</v>
      </c>
      <c r="C2" s="2">
        <v>41645</v>
      </c>
      <c r="D2" t="s">
        <v>528</v>
      </c>
      <c r="E2" t="s">
        <v>521</v>
      </c>
      <c r="F2" s="2">
        <v>41579</v>
      </c>
      <c r="G2" s="2">
        <v>41907</v>
      </c>
      <c r="H2" s="2">
        <v>41866</v>
      </c>
      <c r="I2" s="2">
        <v>41645</v>
      </c>
      <c r="J2" t="s">
        <v>249</v>
      </c>
      <c r="K2" s="2">
        <v>41725</v>
      </c>
      <c r="L2" s="1">
        <v>10</v>
      </c>
      <c r="M2" s="1">
        <v>7</v>
      </c>
      <c r="N2" t="s">
        <v>313</v>
      </c>
      <c r="P2" t="s">
        <v>124</v>
      </c>
      <c r="Q2" t="s">
        <v>4</v>
      </c>
      <c r="R2" t="s">
        <v>520</v>
      </c>
      <c r="S2" t="s">
        <v>319</v>
      </c>
      <c r="T2" t="s">
        <v>320</v>
      </c>
      <c r="U2" t="s">
        <v>529</v>
      </c>
      <c r="V2" s="1">
        <v>0</v>
      </c>
      <c r="X2" t="s">
        <v>401</v>
      </c>
      <c r="Y2" t="s">
        <v>402</v>
      </c>
      <c r="Z2" t="s">
        <v>405</v>
      </c>
      <c r="AA2" t="s">
        <v>390</v>
      </c>
      <c r="AB2" t="s">
        <v>403</v>
      </c>
      <c r="AC2" t="s">
        <v>333</v>
      </c>
      <c r="AD2" t="s">
        <v>391</v>
      </c>
      <c r="AE2" t="s">
        <v>655</v>
      </c>
      <c r="AF2" t="s">
        <v>656</v>
      </c>
      <c r="AG2" t="s">
        <v>406</v>
      </c>
      <c r="AH2" s="50">
        <v>899000</v>
      </c>
      <c r="AI2" s="50">
        <v>722000</v>
      </c>
      <c r="AK2" t="s">
        <v>519</v>
      </c>
      <c r="AL2" t="s">
        <v>11</v>
      </c>
      <c r="AM2" t="s">
        <v>11</v>
      </c>
      <c r="AN2" t="s">
        <v>143</v>
      </c>
      <c r="AP2" t="s">
        <v>613</v>
      </c>
      <c r="AQ2" s="50">
        <v>0</v>
      </c>
      <c r="AR2" s="50">
        <v>0</v>
      </c>
      <c r="AS2" s="50">
        <v>0</v>
      </c>
      <c r="AT2" s="50">
        <v>722000</v>
      </c>
      <c r="AU2" t="s">
        <v>148</v>
      </c>
      <c r="AV2" t="s">
        <v>83</v>
      </c>
      <c r="AY2" t="s">
        <v>614</v>
      </c>
      <c r="BA2" s="53">
        <v>153</v>
      </c>
    </row>
    <row r="3" spans="1:53">
      <c r="A3" t="s">
        <v>11</v>
      </c>
      <c r="B3" s="2">
        <v>41697</v>
      </c>
      <c r="C3" s="2">
        <v>41540</v>
      </c>
      <c r="D3" t="s">
        <v>528</v>
      </c>
      <c r="E3" t="s">
        <v>521</v>
      </c>
      <c r="F3" s="2">
        <v>41579</v>
      </c>
      <c r="G3" s="2">
        <v>41823</v>
      </c>
      <c r="H3" s="2">
        <v>41782</v>
      </c>
      <c r="I3" s="2">
        <v>41540</v>
      </c>
      <c r="J3" t="s">
        <v>248</v>
      </c>
      <c r="K3" s="2">
        <v>41697</v>
      </c>
      <c r="L3" s="1">
        <v>3</v>
      </c>
      <c r="M3" s="1">
        <v>4</v>
      </c>
      <c r="N3" t="s">
        <v>313</v>
      </c>
      <c r="P3" t="s">
        <v>8</v>
      </c>
      <c r="Q3" t="s">
        <v>4</v>
      </c>
      <c r="R3" t="s">
        <v>520</v>
      </c>
      <c r="S3" t="s">
        <v>319</v>
      </c>
      <c r="T3" t="s">
        <v>320</v>
      </c>
      <c r="U3" t="s">
        <v>529</v>
      </c>
      <c r="V3" s="1">
        <v>0</v>
      </c>
      <c r="X3" t="s">
        <v>332</v>
      </c>
      <c r="Y3" t="s">
        <v>336</v>
      </c>
      <c r="Z3" t="s">
        <v>339</v>
      </c>
      <c r="AA3" t="s">
        <v>334</v>
      </c>
      <c r="AB3" t="s">
        <v>336</v>
      </c>
      <c r="AC3" t="s">
        <v>333</v>
      </c>
      <c r="AD3" t="s">
        <v>337</v>
      </c>
      <c r="AE3" t="s">
        <v>338</v>
      </c>
      <c r="AF3" t="s">
        <v>612</v>
      </c>
      <c r="AG3" t="s">
        <v>340</v>
      </c>
      <c r="AH3" s="50">
        <v>130000</v>
      </c>
      <c r="AI3" s="50">
        <v>57000</v>
      </c>
      <c r="AK3" t="s">
        <v>519</v>
      </c>
      <c r="AM3" t="s">
        <v>11</v>
      </c>
      <c r="AN3" t="s">
        <v>143</v>
      </c>
      <c r="AP3" t="s">
        <v>613</v>
      </c>
      <c r="AQ3" s="50">
        <v>0</v>
      </c>
      <c r="AR3" s="50">
        <v>0</v>
      </c>
      <c r="AS3" s="50">
        <v>0</v>
      </c>
      <c r="AT3" s="50">
        <v>57000</v>
      </c>
      <c r="AU3" t="s">
        <v>148</v>
      </c>
      <c r="AV3" t="s">
        <v>83</v>
      </c>
      <c r="AY3" t="s">
        <v>614</v>
      </c>
      <c r="BA3" s="53">
        <v>136</v>
      </c>
    </row>
    <row r="4" spans="1:53">
      <c r="A4" t="s">
        <v>11</v>
      </c>
      <c r="B4" s="2">
        <v>41709</v>
      </c>
      <c r="C4" s="2">
        <v>41568</v>
      </c>
      <c r="D4" t="s">
        <v>528</v>
      </c>
      <c r="E4" t="s">
        <v>521</v>
      </c>
      <c r="F4" s="2">
        <v>41579</v>
      </c>
      <c r="G4" s="2">
        <v>41908</v>
      </c>
      <c r="H4" s="2">
        <v>41908</v>
      </c>
      <c r="I4" s="2">
        <v>41568</v>
      </c>
      <c r="J4" t="s">
        <v>561</v>
      </c>
      <c r="K4" s="2">
        <v>41709</v>
      </c>
      <c r="L4" s="1">
        <v>8</v>
      </c>
      <c r="M4" s="1">
        <v>11</v>
      </c>
      <c r="N4" t="s">
        <v>313</v>
      </c>
      <c r="P4" t="s">
        <v>639</v>
      </c>
      <c r="Q4" t="s">
        <v>4</v>
      </c>
      <c r="R4" t="s">
        <v>640</v>
      </c>
      <c r="S4" t="s">
        <v>319</v>
      </c>
      <c r="T4" t="s">
        <v>320</v>
      </c>
      <c r="U4" t="s">
        <v>529</v>
      </c>
      <c r="V4" s="1">
        <v>0</v>
      </c>
      <c r="X4" t="s">
        <v>641</v>
      </c>
      <c r="Y4" t="s">
        <v>642</v>
      </c>
      <c r="Z4" t="s">
        <v>643</v>
      </c>
      <c r="AA4" t="s">
        <v>644</v>
      </c>
      <c r="AB4" t="s">
        <v>645</v>
      </c>
      <c r="AC4" t="s">
        <v>642</v>
      </c>
      <c r="AD4" t="s">
        <v>646</v>
      </c>
      <c r="AF4" t="s">
        <v>647</v>
      </c>
      <c r="AG4" t="s">
        <v>144</v>
      </c>
      <c r="AH4" s="50">
        <v>722000</v>
      </c>
      <c r="AI4" s="50">
        <v>563000</v>
      </c>
      <c r="AK4" t="s">
        <v>519</v>
      </c>
      <c r="AL4" t="s">
        <v>11</v>
      </c>
      <c r="AM4" t="s">
        <v>11</v>
      </c>
      <c r="AN4" t="s">
        <v>143</v>
      </c>
      <c r="AP4" t="s">
        <v>613</v>
      </c>
      <c r="AT4" s="50">
        <v>563000</v>
      </c>
      <c r="AU4" t="s">
        <v>148</v>
      </c>
      <c r="AV4" t="s">
        <v>83</v>
      </c>
      <c r="AY4" t="s">
        <v>614</v>
      </c>
      <c r="BA4" s="53">
        <v>173</v>
      </c>
    </row>
    <row r="5" spans="1:53">
      <c r="A5" t="s">
        <v>11</v>
      </c>
      <c r="B5" s="2">
        <v>41709</v>
      </c>
      <c r="C5" s="2">
        <v>41526</v>
      </c>
      <c r="D5" t="s">
        <v>528</v>
      </c>
      <c r="E5" t="s">
        <v>521</v>
      </c>
      <c r="F5" s="2">
        <v>41579</v>
      </c>
      <c r="G5" s="2">
        <v>41718</v>
      </c>
      <c r="H5" s="2">
        <v>41677</v>
      </c>
      <c r="I5" s="2">
        <v>41526</v>
      </c>
      <c r="J5" t="s">
        <v>561</v>
      </c>
      <c r="K5" s="2">
        <v>41709</v>
      </c>
      <c r="L5" s="1">
        <v>9</v>
      </c>
      <c r="M5" s="1">
        <v>12</v>
      </c>
      <c r="N5" t="s">
        <v>313</v>
      </c>
      <c r="P5" t="s">
        <v>648</v>
      </c>
      <c r="Q5" t="s">
        <v>4</v>
      </c>
      <c r="R5" t="s">
        <v>520</v>
      </c>
      <c r="S5" t="s">
        <v>319</v>
      </c>
      <c r="T5" t="s">
        <v>320</v>
      </c>
      <c r="U5" t="s">
        <v>529</v>
      </c>
      <c r="V5" s="1">
        <v>0</v>
      </c>
      <c r="X5" t="s">
        <v>649</v>
      </c>
      <c r="Y5" t="s">
        <v>462</v>
      </c>
      <c r="Z5" t="s">
        <v>464</v>
      </c>
      <c r="AA5" t="s">
        <v>465</v>
      </c>
      <c r="AB5" t="s">
        <v>461</v>
      </c>
      <c r="AC5" t="s">
        <v>462</v>
      </c>
      <c r="AD5" t="s">
        <v>148</v>
      </c>
      <c r="AE5" t="s">
        <v>466</v>
      </c>
      <c r="AG5" t="s">
        <v>144</v>
      </c>
      <c r="AH5" s="50">
        <v>333000</v>
      </c>
      <c r="AI5" s="50">
        <v>237000</v>
      </c>
      <c r="AK5" t="s">
        <v>519</v>
      </c>
      <c r="AM5" t="s">
        <v>11</v>
      </c>
      <c r="AN5" t="s">
        <v>143</v>
      </c>
      <c r="AP5" t="s">
        <v>613</v>
      </c>
      <c r="AQ5" s="50">
        <v>0</v>
      </c>
      <c r="AR5" s="50">
        <v>0</v>
      </c>
      <c r="AS5" s="50">
        <v>0</v>
      </c>
      <c r="AT5" s="50">
        <v>237000</v>
      </c>
      <c r="AU5" t="s">
        <v>148</v>
      </c>
      <c r="AV5" t="s">
        <v>83</v>
      </c>
      <c r="AY5" t="s">
        <v>614</v>
      </c>
      <c r="BA5" s="53">
        <v>102</v>
      </c>
    </row>
    <row r="6" spans="1:53">
      <c r="A6" t="s">
        <v>663</v>
      </c>
      <c r="B6" s="2">
        <v>42020</v>
      </c>
      <c r="C6" s="2">
        <v>41988</v>
      </c>
      <c r="D6" t="s">
        <v>808</v>
      </c>
      <c r="E6" t="s">
        <v>561</v>
      </c>
      <c r="F6" s="2">
        <v>42020</v>
      </c>
      <c r="G6" s="2">
        <v>42563</v>
      </c>
      <c r="H6" s="2">
        <v>42199</v>
      </c>
      <c r="K6" s="2">
        <v>42020</v>
      </c>
      <c r="L6" s="1">
        <v>194</v>
      </c>
      <c r="M6" s="1">
        <v>137</v>
      </c>
      <c r="N6" t="s">
        <v>313</v>
      </c>
      <c r="P6" t="s">
        <v>1099</v>
      </c>
      <c r="Q6" t="s">
        <v>808</v>
      </c>
      <c r="R6" t="s">
        <v>808</v>
      </c>
      <c r="S6" t="s">
        <v>1100</v>
      </c>
      <c r="T6" t="s">
        <v>810</v>
      </c>
      <c r="U6" t="s">
        <v>522</v>
      </c>
      <c r="V6" s="1">
        <v>0</v>
      </c>
      <c r="AK6" t="s">
        <v>812</v>
      </c>
      <c r="AL6" t="s">
        <v>663</v>
      </c>
      <c r="AM6" t="s">
        <v>663</v>
      </c>
      <c r="AN6" t="s">
        <v>143</v>
      </c>
      <c r="AP6" t="s">
        <v>613</v>
      </c>
      <c r="AT6" s="50">
        <v>0</v>
      </c>
      <c r="AU6" t="s">
        <v>148</v>
      </c>
      <c r="AV6" t="s">
        <v>83</v>
      </c>
      <c r="AY6" t="s">
        <v>614</v>
      </c>
      <c r="BA6" s="53">
        <v>150</v>
      </c>
    </row>
    <row r="7" spans="1:53">
      <c r="D7" t="s">
        <v>112</v>
      </c>
      <c r="E7" t="s">
        <v>521</v>
      </c>
      <c r="F7" s="2">
        <v>41682</v>
      </c>
      <c r="G7" s="2">
        <v>42278</v>
      </c>
      <c r="H7" s="2">
        <v>42237</v>
      </c>
      <c r="I7" s="2">
        <v>42072</v>
      </c>
      <c r="J7" t="s">
        <v>249</v>
      </c>
      <c r="K7" s="2">
        <v>42013</v>
      </c>
      <c r="L7" s="1">
        <v>1</v>
      </c>
      <c r="N7" t="s">
        <v>160</v>
      </c>
      <c r="P7" t="s">
        <v>210</v>
      </c>
      <c r="Q7" t="s">
        <v>4</v>
      </c>
      <c r="R7" t="s">
        <v>520</v>
      </c>
      <c r="S7" t="s">
        <v>657</v>
      </c>
      <c r="T7" t="s">
        <v>658</v>
      </c>
      <c r="U7" t="s">
        <v>529</v>
      </c>
      <c r="V7" s="1">
        <v>0</v>
      </c>
      <c r="X7" t="s">
        <v>209</v>
      </c>
      <c r="Y7" t="s">
        <v>659</v>
      </c>
      <c r="Z7" t="s">
        <v>208</v>
      </c>
      <c r="AA7" t="s">
        <v>660</v>
      </c>
      <c r="AB7" t="s">
        <v>661</v>
      </c>
      <c r="AF7" t="s">
        <v>662</v>
      </c>
      <c r="AH7" s="50">
        <v>350000</v>
      </c>
      <c r="AI7" s="50">
        <v>500000</v>
      </c>
      <c r="AK7" t="s">
        <v>519</v>
      </c>
      <c r="AL7" t="s">
        <v>11</v>
      </c>
      <c r="AM7" t="s">
        <v>11</v>
      </c>
      <c r="AN7" t="s">
        <v>143</v>
      </c>
      <c r="AO7" t="s">
        <v>223</v>
      </c>
      <c r="AP7" t="s">
        <v>613</v>
      </c>
      <c r="AQ7" s="50">
        <v>0</v>
      </c>
      <c r="AR7" s="50">
        <v>0</v>
      </c>
      <c r="AS7" s="50">
        <v>0</v>
      </c>
      <c r="AT7" s="50">
        <v>500000</v>
      </c>
      <c r="AU7" t="s">
        <v>186</v>
      </c>
      <c r="AV7" t="s">
        <v>82</v>
      </c>
      <c r="AW7" t="s">
        <v>223</v>
      </c>
      <c r="AX7" t="s">
        <v>122</v>
      </c>
      <c r="AY7" t="s">
        <v>614</v>
      </c>
      <c r="BA7" s="53">
        <v>107</v>
      </c>
    </row>
    <row r="8" spans="1:53">
      <c r="A8" t="s">
        <v>11</v>
      </c>
      <c r="B8" s="2">
        <v>41697</v>
      </c>
      <c r="C8" s="2">
        <v>41624</v>
      </c>
      <c r="D8" t="s">
        <v>112</v>
      </c>
      <c r="E8" t="s">
        <v>521</v>
      </c>
      <c r="F8" s="2">
        <v>41579</v>
      </c>
      <c r="G8" s="2">
        <v>41830</v>
      </c>
      <c r="H8" s="2">
        <v>41789</v>
      </c>
      <c r="I8" s="2">
        <v>41624</v>
      </c>
      <c r="J8" t="s">
        <v>561</v>
      </c>
      <c r="K8" s="2">
        <v>41697</v>
      </c>
      <c r="L8" s="1">
        <v>4</v>
      </c>
      <c r="M8" s="1">
        <v>5</v>
      </c>
      <c r="N8" t="s">
        <v>313</v>
      </c>
      <c r="P8" t="s">
        <v>456</v>
      </c>
      <c r="Q8" t="s">
        <v>4</v>
      </c>
      <c r="R8" t="s">
        <v>520</v>
      </c>
      <c r="S8" t="s">
        <v>319</v>
      </c>
      <c r="T8" t="s">
        <v>320</v>
      </c>
      <c r="U8" t="s">
        <v>562</v>
      </c>
      <c r="V8" s="1">
        <v>0</v>
      </c>
      <c r="X8" t="s">
        <v>457</v>
      </c>
      <c r="Y8" t="s">
        <v>458</v>
      </c>
      <c r="Z8" t="s">
        <v>464</v>
      </c>
      <c r="AA8" t="s">
        <v>459</v>
      </c>
      <c r="AB8" t="s">
        <v>461</v>
      </c>
      <c r="AC8" t="s">
        <v>462</v>
      </c>
      <c r="AD8" t="s">
        <v>148</v>
      </c>
      <c r="AE8" t="s">
        <v>463</v>
      </c>
      <c r="AG8" t="s">
        <v>144</v>
      </c>
      <c r="AH8" s="50">
        <v>570000</v>
      </c>
      <c r="AI8" s="50">
        <v>230000</v>
      </c>
      <c r="AK8" t="s">
        <v>519</v>
      </c>
      <c r="AL8" t="s">
        <v>11</v>
      </c>
      <c r="AM8" t="s">
        <v>11</v>
      </c>
      <c r="AN8" t="s">
        <v>143</v>
      </c>
      <c r="AP8" t="s">
        <v>613</v>
      </c>
      <c r="AQ8" s="50">
        <v>0</v>
      </c>
      <c r="AR8" s="50">
        <v>0</v>
      </c>
      <c r="AS8" s="50">
        <v>0</v>
      </c>
      <c r="AT8" s="50">
        <v>230000</v>
      </c>
      <c r="AU8" t="s">
        <v>148</v>
      </c>
      <c r="AV8" t="s">
        <v>83</v>
      </c>
      <c r="AY8" t="s">
        <v>614</v>
      </c>
      <c r="BA8" s="53">
        <v>182</v>
      </c>
    </row>
    <row r="9" spans="1:53">
      <c r="A9" t="s">
        <v>11</v>
      </c>
      <c r="B9" s="2">
        <v>41697</v>
      </c>
      <c r="C9" s="2">
        <v>41596</v>
      </c>
      <c r="D9" t="s">
        <v>528</v>
      </c>
      <c r="E9" t="s">
        <v>521</v>
      </c>
      <c r="F9" s="2">
        <v>41579</v>
      </c>
      <c r="G9" s="2">
        <v>41802</v>
      </c>
      <c r="H9" s="2">
        <v>41761</v>
      </c>
      <c r="I9" s="2">
        <v>41596</v>
      </c>
      <c r="J9" t="s">
        <v>532</v>
      </c>
      <c r="K9" s="2">
        <v>41725</v>
      </c>
      <c r="L9" s="1">
        <v>15</v>
      </c>
      <c r="M9" s="1">
        <v>2</v>
      </c>
      <c r="N9" t="s">
        <v>313</v>
      </c>
      <c r="P9" t="s">
        <v>615</v>
      </c>
      <c r="Q9" t="s">
        <v>4</v>
      </c>
      <c r="R9" t="s">
        <v>520</v>
      </c>
      <c r="S9" t="s">
        <v>319</v>
      </c>
      <c r="T9" t="s">
        <v>320</v>
      </c>
      <c r="U9" t="s">
        <v>109</v>
      </c>
      <c r="V9" s="1">
        <v>0</v>
      </c>
      <c r="X9" t="s">
        <v>616</v>
      </c>
      <c r="Y9" t="s">
        <v>489</v>
      </c>
      <c r="Z9" t="s">
        <v>491</v>
      </c>
      <c r="AA9" t="s">
        <v>490</v>
      </c>
      <c r="AB9" t="s">
        <v>489</v>
      </c>
      <c r="AC9" t="s">
        <v>489</v>
      </c>
      <c r="AD9" t="s">
        <v>617</v>
      </c>
      <c r="AE9" t="s">
        <v>618</v>
      </c>
      <c r="AF9" t="s">
        <v>619</v>
      </c>
      <c r="AG9" t="s">
        <v>492</v>
      </c>
      <c r="AH9" s="50">
        <v>500000</v>
      </c>
      <c r="AI9" s="50">
        <v>333000</v>
      </c>
      <c r="AK9" t="s">
        <v>519</v>
      </c>
      <c r="AM9" t="s">
        <v>11</v>
      </c>
      <c r="AN9" t="s">
        <v>143</v>
      </c>
      <c r="AP9" t="s">
        <v>613</v>
      </c>
      <c r="AT9" s="50">
        <v>333000</v>
      </c>
      <c r="AU9" t="s">
        <v>148</v>
      </c>
      <c r="AV9" t="s">
        <v>83</v>
      </c>
      <c r="AY9" t="s">
        <v>614</v>
      </c>
      <c r="BA9" s="53">
        <v>186</v>
      </c>
    </row>
    <row r="10" spans="1:53">
      <c r="A10" t="s">
        <v>11</v>
      </c>
      <c r="B10" s="2">
        <v>41710</v>
      </c>
      <c r="C10" s="2">
        <v>41680</v>
      </c>
      <c r="D10" t="s">
        <v>112</v>
      </c>
      <c r="E10" t="s">
        <v>521</v>
      </c>
      <c r="F10" s="2">
        <v>41579</v>
      </c>
      <c r="G10" s="2">
        <v>41870</v>
      </c>
      <c r="H10" s="2">
        <v>41829</v>
      </c>
      <c r="I10" s="2">
        <v>41680</v>
      </c>
      <c r="J10" t="s">
        <v>249</v>
      </c>
      <c r="K10" s="2">
        <v>41710</v>
      </c>
      <c r="L10" s="1">
        <v>13</v>
      </c>
      <c r="M10" s="1">
        <v>15</v>
      </c>
      <c r="N10" t="s">
        <v>313</v>
      </c>
      <c r="P10" t="s">
        <v>689</v>
      </c>
      <c r="Q10" t="s">
        <v>4</v>
      </c>
      <c r="R10" t="s">
        <v>538</v>
      </c>
      <c r="S10" t="s">
        <v>319</v>
      </c>
      <c r="T10" t="s">
        <v>320</v>
      </c>
      <c r="U10" t="s">
        <v>522</v>
      </c>
      <c r="V10" s="1">
        <v>0</v>
      </c>
      <c r="X10" t="s">
        <v>449</v>
      </c>
      <c r="Y10" t="s">
        <v>450</v>
      </c>
      <c r="Z10" t="s">
        <v>454</v>
      </c>
      <c r="AA10" t="s">
        <v>451</v>
      </c>
      <c r="AB10" t="s">
        <v>361</v>
      </c>
      <c r="AC10" t="s">
        <v>450</v>
      </c>
      <c r="AE10" t="s">
        <v>148</v>
      </c>
      <c r="AF10" t="s">
        <v>690</v>
      </c>
      <c r="AG10" t="s">
        <v>475</v>
      </c>
      <c r="AH10" s="50">
        <v>400000</v>
      </c>
      <c r="AI10" s="50">
        <v>231000</v>
      </c>
      <c r="AK10" t="s">
        <v>519</v>
      </c>
      <c r="AM10" t="s">
        <v>11</v>
      </c>
      <c r="AN10" t="s">
        <v>143</v>
      </c>
      <c r="AP10" t="s">
        <v>613</v>
      </c>
      <c r="AQ10" s="50">
        <v>0</v>
      </c>
      <c r="AR10" s="50">
        <v>0</v>
      </c>
      <c r="AS10" s="50">
        <v>0</v>
      </c>
      <c r="AT10" s="50">
        <v>231000</v>
      </c>
      <c r="AU10" t="s">
        <v>148</v>
      </c>
      <c r="AV10" t="s">
        <v>83</v>
      </c>
      <c r="AY10" t="s">
        <v>614</v>
      </c>
      <c r="BA10" s="53">
        <v>133</v>
      </c>
    </row>
    <row r="11" spans="1:53">
      <c r="A11" t="s">
        <v>1101</v>
      </c>
      <c r="D11" t="s">
        <v>620</v>
      </c>
      <c r="E11" t="s">
        <v>561</v>
      </c>
      <c r="F11" s="2">
        <v>41654</v>
      </c>
      <c r="J11" t="s">
        <v>112</v>
      </c>
      <c r="K11" s="2">
        <v>42020</v>
      </c>
      <c r="L11" s="1">
        <v>38</v>
      </c>
      <c r="N11" t="s">
        <v>160</v>
      </c>
      <c r="P11" t="s">
        <v>621</v>
      </c>
      <c r="Q11" t="s">
        <v>622</v>
      </c>
      <c r="R11" t="s">
        <v>622</v>
      </c>
      <c r="S11" t="s">
        <v>260</v>
      </c>
      <c r="T11" t="s">
        <v>623</v>
      </c>
      <c r="V11" s="1">
        <v>0</v>
      </c>
      <c r="X11" t="s">
        <v>624</v>
      </c>
      <c r="Y11" t="s">
        <v>625</v>
      </c>
      <c r="Z11" t="s">
        <v>626</v>
      </c>
      <c r="AA11" t="s">
        <v>625</v>
      </c>
      <c r="AB11" t="s">
        <v>627</v>
      </c>
      <c r="AC11" t="s">
        <v>627</v>
      </c>
      <c r="AD11" t="s">
        <v>628</v>
      </c>
      <c r="AE11" t="s">
        <v>629</v>
      </c>
      <c r="AF11" t="s">
        <v>630</v>
      </c>
      <c r="AG11" t="s">
        <v>631</v>
      </c>
      <c r="AK11" t="s">
        <v>632</v>
      </c>
      <c r="AL11" t="s">
        <v>168</v>
      </c>
      <c r="AM11" t="s">
        <v>168</v>
      </c>
      <c r="AN11" t="s">
        <v>143</v>
      </c>
      <c r="AP11" t="s">
        <v>613</v>
      </c>
      <c r="AQ11" s="50">
        <v>0</v>
      </c>
      <c r="AR11" s="50">
        <v>0</v>
      </c>
      <c r="AS11" s="50">
        <v>0</v>
      </c>
      <c r="AT11" s="50">
        <v>0</v>
      </c>
      <c r="AU11" t="s">
        <v>186</v>
      </c>
      <c r="AV11" t="s">
        <v>83</v>
      </c>
      <c r="AY11" t="s">
        <v>614</v>
      </c>
      <c r="BA11" s="53">
        <v>198</v>
      </c>
    </row>
    <row r="12" spans="1:53">
      <c r="A12" t="s">
        <v>1101</v>
      </c>
      <c r="D12" t="s">
        <v>545</v>
      </c>
      <c r="E12" t="s">
        <v>521</v>
      </c>
      <c r="F12" s="2">
        <v>41579</v>
      </c>
      <c r="G12" s="2">
        <v>42243</v>
      </c>
      <c r="H12" s="2">
        <v>42202</v>
      </c>
      <c r="I12" s="2">
        <v>42037</v>
      </c>
      <c r="J12" t="s">
        <v>112</v>
      </c>
      <c r="K12" s="2">
        <v>42013</v>
      </c>
      <c r="L12" s="1">
        <v>18</v>
      </c>
      <c r="N12" t="s">
        <v>160</v>
      </c>
      <c r="P12" t="s">
        <v>258</v>
      </c>
      <c r="Q12" t="s">
        <v>4</v>
      </c>
      <c r="R12" t="s">
        <v>520</v>
      </c>
      <c r="S12" t="s">
        <v>319</v>
      </c>
      <c r="T12" t="s">
        <v>320</v>
      </c>
      <c r="U12" t="s">
        <v>570</v>
      </c>
      <c r="V12" s="1">
        <v>0</v>
      </c>
      <c r="X12" t="s">
        <v>229</v>
      </c>
      <c r="Y12" t="s">
        <v>228</v>
      </c>
      <c r="Z12" t="s">
        <v>227</v>
      </c>
      <c r="AB12" t="s">
        <v>225</v>
      </c>
      <c r="AC12" t="s">
        <v>224</v>
      </c>
      <c r="AD12" t="s">
        <v>223</v>
      </c>
      <c r="AE12" t="s">
        <v>222</v>
      </c>
      <c r="AF12" t="s">
        <v>221</v>
      </c>
      <c r="AG12" t="s">
        <v>226</v>
      </c>
      <c r="AH12" s="50">
        <v>728000</v>
      </c>
      <c r="AI12" s="50">
        <v>541000</v>
      </c>
      <c r="AK12" t="s">
        <v>519</v>
      </c>
      <c r="AL12" t="s">
        <v>11</v>
      </c>
      <c r="AM12" t="s">
        <v>11</v>
      </c>
      <c r="AN12" t="s">
        <v>143</v>
      </c>
      <c r="AP12" t="s">
        <v>613</v>
      </c>
      <c r="AQ12" s="50">
        <v>0</v>
      </c>
      <c r="AR12" s="50">
        <v>0</v>
      </c>
      <c r="AS12" s="50">
        <v>0</v>
      </c>
      <c r="AT12" s="50">
        <v>541000</v>
      </c>
      <c r="AU12" t="s">
        <v>186</v>
      </c>
      <c r="AV12" t="s">
        <v>82</v>
      </c>
      <c r="AW12" t="s">
        <v>112</v>
      </c>
      <c r="AX12" t="s">
        <v>545</v>
      </c>
      <c r="AY12" t="s">
        <v>614</v>
      </c>
      <c r="BA12" s="53">
        <v>153</v>
      </c>
    </row>
    <row r="13" spans="1:53">
      <c r="A13" t="s">
        <v>11</v>
      </c>
      <c r="B13" s="2">
        <v>41708</v>
      </c>
      <c r="C13" s="2">
        <v>41645</v>
      </c>
      <c r="D13" t="s">
        <v>126</v>
      </c>
      <c r="E13" t="s">
        <v>521</v>
      </c>
      <c r="F13" s="2">
        <v>41579</v>
      </c>
      <c r="G13" s="2">
        <v>41893</v>
      </c>
      <c r="H13" s="2">
        <v>41852</v>
      </c>
      <c r="I13" s="2">
        <v>41645</v>
      </c>
      <c r="J13" t="s">
        <v>112</v>
      </c>
      <c r="K13" s="2">
        <v>41708</v>
      </c>
      <c r="L13" s="1">
        <v>6</v>
      </c>
      <c r="M13" s="1">
        <v>9</v>
      </c>
      <c r="N13" t="s">
        <v>313</v>
      </c>
      <c r="P13" t="s">
        <v>635</v>
      </c>
      <c r="Q13" t="s">
        <v>4</v>
      </c>
      <c r="R13" t="s">
        <v>520</v>
      </c>
      <c r="S13" t="s">
        <v>319</v>
      </c>
      <c r="T13" t="s">
        <v>320</v>
      </c>
      <c r="U13" t="s">
        <v>529</v>
      </c>
      <c r="V13" s="1">
        <v>0</v>
      </c>
      <c r="X13" t="s">
        <v>388</v>
      </c>
      <c r="Y13" t="s">
        <v>389</v>
      </c>
      <c r="Z13" t="s">
        <v>636</v>
      </c>
      <c r="AA13" t="s">
        <v>390</v>
      </c>
      <c r="AB13" t="s">
        <v>389</v>
      </c>
      <c r="AC13" t="s">
        <v>333</v>
      </c>
      <c r="AD13" t="s">
        <v>391</v>
      </c>
      <c r="AE13" t="s">
        <v>392</v>
      </c>
      <c r="AF13" t="s">
        <v>637</v>
      </c>
      <c r="AG13" t="s">
        <v>394</v>
      </c>
      <c r="AH13" s="50">
        <v>522000</v>
      </c>
      <c r="AI13" s="50">
        <v>431000</v>
      </c>
      <c r="AK13" t="s">
        <v>519</v>
      </c>
      <c r="AM13" t="s">
        <v>11</v>
      </c>
      <c r="AN13" t="s">
        <v>143</v>
      </c>
      <c r="AP13" t="s">
        <v>613</v>
      </c>
      <c r="AT13" s="50">
        <v>431000</v>
      </c>
      <c r="AU13" t="s">
        <v>148</v>
      </c>
      <c r="AV13" t="s">
        <v>83</v>
      </c>
      <c r="AY13" t="s">
        <v>614</v>
      </c>
      <c r="BA13" s="53">
        <v>172</v>
      </c>
    </row>
    <row r="14" spans="1:53">
      <c r="A14" t="s">
        <v>11</v>
      </c>
      <c r="B14" s="2">
        <v>41708</v>
      </c>
      <c r="C14" s="2">
        <v>41596</v>
      </c>
      <c r="D14" t="s">
        <v>528</v>
      </c>
      <c r="E14" t="s">
        <v>521</v>
      </c>
      <c r="F14" s="2">
        <v>41579</v>
      </c>
      <c r="G14" s="2">
        <v>41802</v>
      </c>
      <c r="H14" s="2">
        <v>41761</v>
      </c>
      <c r="I14" s="2">
        <v>41596</v>
      </c>
      <c r="J14" t="s">
        <v>532</v>
      </c>
      <c r="K14" s="2">
        <v>41708</v>
      </c>
      <c r="L14" s="1">
        <v>7</v>
      </c>
      <c r="M14" s="1">
        <v>10</v>
      </c>
      <c r="N14" t="s">
        <v>313</v>
      </c>
      <c r="P14" t="s">
        <v>638</v>
      </c>
      <c r="Q14" t="s">
        <v>4</v>
      </c>
      <c r="R14" t="s">
        <v>520</v>
      </c>
      <c r="S14" t="s">
        <v>319</v>
      </c>
      <c r="T14" t="s">
        <v>320</v>
      </c>
      <c r="U14" t="s">
        <v>522</v>
      </c>
      <c r="V14" s="1">
        <v>0</v>
      </c>
      <c r="X14" t="s">
        <v>395</v>
      </c>
      <c r="Y14" t="s">
        <v>396</v>
      </c>
      <c r="Z14" t="s">
        <v>400</v>
      </c>
      <c r="AA14" t="s">
        <v>148</v>
      </c>
      <c r="AB14" t="s">
        <v>396</v>
      </c>
      <c r="AC14" t="s">
        <v>398</v>
      </c>
      <c r="AD14" t="s">
        <v>148</v>
      </c>
      <c r="AE14" t="s">
        <v>399</v>
      </c>
      <c r="AG14" t="s">
        <v>326</v>
      </c>
      <c r="AH14" s="50">
        <v>1000000</v>
      </c>
      <c r="AI14" s="50">
        <v>720000</v>
      </c>
      <c r="AK14" t="s">
        <v>519</v>
      </c>
      <c r="AM14" t="s">
        <v>11</v>
      </c>
      <c r="AN14" t="s">
        <v>143</v>
      </c>
      <c r="AP14" t="s">
        <v>613</v>
      </c>
      <c r="AQ14" s="50">
        <v>0</v>
      </c>
      <c r="AR14" s="50">
        <v>0</v>
      </c>
      <c r="AS14" s="50">
        <v>0</v>
      </c>
      <c r="AT14" s="50">
        <v>720000</v>
      </c>
      <c r="AU14" t="s">
        <v>148</v>
      </c>
      <c r="AV14" t="s">
        <v>83</v>
      </c>
      <c r="AY14" t="s">
        <v>614</v>
      </c>
      <c r="BA14" s="53">
        <v>119</v>
      </c>
    </row>
    <row r="15" spans="1:53">
      <c r="A15" t="s">
        <v>1101</v>
      </c>
      <c r="D15" t="s">
        <v>528</v>
      </c>
      <c r="E15" t="s">
        <v>521</v>
      </c>
      <c r="F15" s="2">
        <v>41579</v>
      </c>
      <c r="J15" t="s">
        <v>249</v>
      </c>
      <c r="K15" s="2">
        <v>41753</v>
      </c>
      <c r="L15" s="1">
        <v>28</v>
      </c>
      <c r="N15" t="s">
        <v>154</v>
      </c>
      <c r="P15" t="s">
        <v>153</v>
      </c>
      <c r="Q15" t="s">
        <v>4</v>
      </c>
      <c r="R15" t="s">
        <v>520</v>
      </c>
      <c r="S15" t="s">
        <v>319</v>
      </c>
      <c r="T15" t="s">
        <v>320</v>
      </c>
      <c r="U15" t="s">
        <v>109</v>
      </c>
      <c r="V15" s="1">
        <v>0</v>
      </c>
      <c r="X15" t="s">
        <v>152</v>
      </c>
      <c r="Y15" t="s">
        <v>151</v>
      </c>
      <c r="Z15" t="s">
        <v>150</v>
      </c>
      <c r="AA15" t="s">
        <v>144</v>
      </c>
      <c r="AB15" t="s">
        <v>148</v>
      </c>
      <c r="AD15" t="s">
        <v>147</v>
      </c>
      <c r="AE15" t="s">
        <v>146</v>
      </c>
      <c r="AF15" t="s">
        <v>145</v>
      </c>
      <c r="AG15" t="s">
        <v>149</v>
      </c>
      <c r="AH15" s="50">
        <v>300000</v>
      </c>
      <c r="AI15" s="50">
        <v>130000</v>
      </c>
      <c r="AK15" t="s">
        <v>519</v>
      </c>
      <c r="AL15" t="s">
        <v>11</v>
      </c>
      <c r="AM15" t="s">
        <v>11</v>
      </c>
      <c r="AN15" t="s">
        <v>143</v>
      </c>
      <c r="AP15" t="s">
        <v>613</v>
      </c>
      <c r="AQ15" s="50">
        <v>0</v>
      </c>
      <c r="AR15" s="50">
        <v>0</v>
      </c>
      <c r="AS15" s="50">
        <v>0</v>
      </c>
      <c r="AT15" s="50">
        <v>130000</v>
      </c>
      <c r="AU15" t="s">
        <v>142</v>
      </c>
      <c r="AV15" t="s">
        <v>83</v>
      </c>
      <c r="AY15" t="s">
        <v>614</v>
      </c>
      <c r="BA15" s="53">
        <v>163</v>
      </c>
    </row>
    <row r="16" spans="1:53">
      <c r="A16" t="s">
        <v>11</v>
      </c>
      <c r="B16" s="2">
        <v>41695</v>
      </c>
      <c r="C16" s="2">
        <v>41652</v>
      </c>
      <c r="D16" t="s">
        <v>112</v>
      </c>
      <c r="E16" t="s">
        <v>521</v>
      </c>
      <c r="F16" s="2">
        <v>41579</v>
      </c>
      <c r="G16" s="2">
        <v>41918</v>
      </c>
      <c r="H16" s="2">
        <v>41877</v>
      </c>
      <c r="I16" s="2">
        <v>41652</v>
      </c>
      <c r="J16" t="s">
        <v>112</v>
      </c>
      <c r="K16" s="2">
        <v>41695</v>
      </c>
      <c r="L16" s="1">
        <v>14</v>
      </c>
      <c r="M16" s="1">
        <v>1</v>
      </c>
      <c r="N16" t="s">
        <v>313</v>
      </c>
      <c r="P16" t="s">
        <v>650</v>
      </c>
      <c r="Q16" t="s">
        <v>558</v>
      </c>
      <c r="R16" t="s">
        <v>195</v>
      </c>
      <c r="S16" t="s">
        <v>319</v>
      </c>
      <c r="T16" t="s">
        <v>320</v>
      </c>
      <c r="U16" t="s">
        <v>529</v>
      </c>
      <c r="V16" s="1">
        <v>0</v>
      </c>
      <c r="X16" t="s">
        <v>651</v>
      </c>
      <c r="Y16" t="s">
        <v>422</v>
      </c>
      <c r="Z16" t="s">
        <v>419</v>
      </c>
      <c r="AA16" t="s">
        <v>420</v>
      </c>
      <c r="AB16" t="s">
        <v>421</v>
      </c>
      <c r="AC16" t="s">
        <v>419</v>
      </c>
      <c r="AE16" t="s">
        <v>421</v>
      </c>
      <c r="AF16" t="s">
        <v>652</v>
      </c>
      <c r="AG16" t="s">
        <v>653</v>
      </c>
      <c r="AH16" s="50">
        <v>300000</v>
      </c>
      <c r="AI16" s="50">
        <v>125000</v>
      </c>
      <c r="AK16" t="s">
        <v>519</v>
      </c>
      <c r="AM16" t="s">
        <v>11</v>
      </c>
      <c r="AN16" t="s">
        <v>143</v>
      </c>
      <c r="AP16" t="s">
        <v>613</v>
      </c>
      <c r="AQ16" s="50">
        <v>0</v>
      </c>
      <c r="AR16" s="50">
        <v>0</v>
      </c>
      <c r="AS16" s="50">
        <v>0</v>
      </c>
      <c r="AT16" s="50">
        <v>125000</v>
      </c>
      <c r="AU16" t="s">
        <v>148</v>
      </c>
      <c r="AV16" t="s">
        <v>83</v>
      </c>
      <c r="AY16" t="s">
        <v>614</v>
      </c>
      <c r="BA16" s="53">
        <v>169</v>
      </c>
    </row>
    <row r="17" spans="1:53">
      <c r="A17" t="s">
        <v>1101</v>
      </c>
      <c r="D17" t="s">
        <v>528</v>
      </c>
      <c r="E17" t="s">
        <v>521</v>
      </c>
      <c r="F17" s="2">
        <v>41579</v>
      </c>
      <c r="J17" t="s">
        <v>561</v>
      </c>
      <c r="K17" s="2">
        <v>41753</v>
      </c>
      <c r="L17" s="1">
        <v>33</v>
      </c>
      <c r="N17" t="s">
        <v>154</v>
      </c>
      <c r="P17" t="s">
        <v>654</v>
      </c>
      <c r="Q17" t="s">
        <v>4</v>
      </c>
      <c r="R17" t="s">
        <v>520</v>
      </c>
      <c r="S17" t="s">
        <v>319</v>
      </c>
      <c r="T17" t="s">
        <v>320</v>
      </c>
      <c r="U17" t="s">
        <v>529</v>
      </c>
      <c r="V17" s="1">
        <v>0</v>
      </c>
      <c r="AH17" s="50">
        <v>500000</v>
      </c>
      <c r="AI17" s="50">
        <v>380000</v>
      </c>
      <c r="AK17" t="s">
        <v>519</v>
      </c>
      <c r="AL17" t="s">
        <v>11</v>
      </c>
      <c r="AM17" t="s">
        <v>11</v>
      </c>
      <c r="AN17" t="s">
        <v>143</v>
      </c>
      <c r="AP17" t="s">
        <v>613</v>
      </c>
      <c r="AQ17" s="50">
        <v>0</v>
      </c>
      <c r="AR17" s="50">
        <v>0</v>
      </c>
      <c r="AS17" s="50">
        <v>0</v>
      </c>
      <c r="AT17" s="50">
        <v>380000</v>
      </c>
      <c r="AU17" t="s">
        <v>142</v>
      </c>
      <c r="AV17" t="s">
        <v>83</v>
      </c>
      <c r="AW17" t="s">
        <v>251</v>
      </c>
      <c r="AX17" t="s">
        <v>273</v>
      </c>
      <c r="AY17" t="s">
        <v>614</v>
      </c>
      <c r="AZ17" t="s">
        <v>12</v>
      </c>
      <c r="BA17" s="53">
        <v>191</v>
      </c>
    </row>
    <row r="18" spans="1:53">
      <c r="A18" t="s">
        <v>11</v>
      </c>
      <c r="B18" s="2">
        <v>41697</v>
      </c>
      <c r="C18" s="2">
        <v>41533</v>
      </c>
      <c r="D18" t="s">
        <v>528</v>
      </c>
      <c r="E18" t="s">
        <v>521</v>
      </c>
      <c r="F18" s="2">
        <v>41579</v>
      </c>
      <c r="G18" s="2">
        <v>41739</v>
      </c>
      <c r="H18" s="2">
        <v>41698</v>
      </c>
      <c r="I18" s="2">
        <v>41533</v>
      </c>
      <c r="J18" t="s">
        <v>532</v>
      </c>
      <c r="K18" s="2">
        <v>41697</v>
      </c>
      <c r="L18" s="1">
        <v>16</v>
      </c>
      <c r="M18" s="1">
        <v>3</v>
      </c>
      <c r="N18" t="s">
        <v>313</v>
      </c>
      <c r="P18" t="s">
        <v>127</v>
      </c>
      <c r="Q18" t="s">
        <v>4</v>
      </c>
      <c r="R18" t="s">
        <v>520</v>
      </c>
      <c r="S18" t="s">
        <v>319</v>
      </c>
      <c r="T18" t="s">
        <v>320</v>
      </c>
      <c r="U18" t="s">
        <v>522</v>
      </c>
      <c r="V18" s="1">
        <v>0</v>
      </c>
      <c r="X18" t="s">
        <v>497</v>
      </c>
      <c r="Y18" t="s">
        <v>498</v>
      </c>
      <c r="Z18" t="s">
        <v>664</v>
      </c>
      <c r="AA18" t="s">
        <v>499</v>
      </c>
      <c r="AB18" t="s">
        <v>502</v>
      </c>
      <c r="AC18" t="s">
        <v>665</v>
      </c>
      <c r="AD18" t="s">
        <v>500</v>
      </c>
      <c r="AE18" t="s">
        <v>501</v>
      </c>
      <c r="AF18" t="s">
        <v>500</v>
      </c>
      <c r="AG18" t="s">
        <v>503</v>
      </c>
      <c r="AH18" s="50">
        <v>700000</v>
      </c>
      <c r="AI18" s="50">
        <v>233000</v>
      </c>
      <c r="AK18" t="s">
        <v>519</v>
      </c>
      <c r="AM18" t="s">
        <v>11</v>
      </c>
      <c r="AN18" t="s">
        <v>143</v>
      </c>
      <c r="AP18" t="s">
        <v>613</v>
      </c>
      <c r="AQ18" s="50">
        <v>0</v>
      </c>
      <c r="AR18" s="50">
        <v>0</v>
      </c>
      <c r="AS18" s="50">
        <v>0</v>
      </c>
      <c r="AT18" s="50">
        <v>233000</v>
      </c>
      <c r="AU18" t="s">
        <v>148</v>
      </c>
      <c r="AV18" t="s">
        <v>83</v>
      </c>
      <c r="AY18" t="s">
        <v>614</v>
      </c>
      <c r="BA18" s="53">
        <v>158</v>
      </c>
    </row>
    <row r="19" spans="1:53">
      <c r="A19" t="s">
        <v>11</v>
      </c>
      <c r="B19" s="2">
        <v>41725</v>
      </c>
      <c r="C19" s="2">
        <v>41653</v>
      </c>
      <c r="D19" t="s">
        <v>545</v>
      </c>
      <c r="E19" t="s">
        <v>521</v>
      </c>
      <c r="F19" s="2">
        <v>41579</v>
      </c>
      <c r="G19" s="2">
        <v>41901</v>
      </c>
      <c r="H19" s="2">
        <v>41862</v>
      </c>
      <c r="I19" s="2">
        <v>41653</v>
      </c>
      <c r="J19" t="s">
        <v>112</v>
      </c>
      <c r="K19" s="2">
        <v>41725</v>
      </c>
      <c r="L19" s="1">
        <v>20</v>
      </c>
      <c r="M19" s="1">
        <v>75</v>
      </c>
      <c r="N19" t="s">
        <v>313</v>
      </c>
      <c r="P19" t="s">
        <v>230</v>
      </c>
      <c r="Q19" t="s">
        <v>4</v>
      </c>
      <c r="R19" t="s">
        <v>520</v>
      </c>
      <c r="S19" t="s">
        <v>319</v>
      </c>
      <c r="T19" t="s">
        <v>320</v>
      </c>
      <c r="U19" t="s">
        <v>522</v>
      </c>
      <c r="V19" s="1">
        <v>0</v>
      </c>
      <c r="X19" t="s">
        <v>229</v>
      </c>
      <c r="Y19" t="s">
        <v>228</v>
      </c>
      <c r="Z19" t="s">
        <v>221</v>
      </c>
      <c r="AA19" t="s">
        <v>227</v>
      </c>
      <c r="AB19" t="s">
        <v>225</v>
      </c>
      <c r="AC19" t="s">
        <v>224</v>
      </c>
      <c r="AD19" t="s">
        <v>223</v>
      </c>
      <c r="AE19" t="s">
        <v>222</v>
      </c>
      <c r="AF19" t="s">
        <v>679</v>
      </c>
      <c r="AH19" s="50">
        <v>780000</v>
      </c>
      <c r="AI19" s="50">
        <v>431000</v>
      </c>
      <c r="AK19" t="s">
        <v>519</v>
      </c>
      <c r="AL19" t="s">
        <v>11</v>
      </c>
      <c r="AM19" t="s">
        <v>11</v>
      </c>
      <c r="AN19" t="s">
        <v>143</v>
      </c>
      <c r="AP19" t="s">
        <v>613</v>
      </c>
      <c r="AQ19" s="50">
        <v>0</v>
      </c>
      <c r="AR19" s="50">
        <v>0</v>
      </c>
      <c r="AS19" s="50">
        <v>0</v>
      </c>
      <c r="AT19" s="50">
        <v>431000</v>
      </c>
      <c r="AU19" t="s">
        <v>148</v>
      </c>
      <c r="AV19" t="s">
        <v>82</v>
      </c>
      <c r="AY19" t="s">
        <v>614</v>
      </c>
      <c r="BA19" s="53">
        <v>200</v>
      </c>
    </row>
    <row r="20" spans="1:53">
      <c r="A20" t="s">
        <v>1101</v>
      </c>
      <c r="D20" t="s">
        <v>528</v>
      </c>
      <c r="E20" t="s">
        <v>521</v>
      </c>
      <c r="F20" s="2">
        <v>41579</v>
      </c>
      <c r="G20" s="2">
        <v>42374</v>
      </c>
      <c r="H20" s="2">
        <v>42333</v>
      </c>
      <c r="I20" s="2">
        <v>42108</v>
      </c>
      <c r="J20" t="s">
        <v>248</v>
      </c>
      <c r="K20" s="2">
        <v>42013</v>
      </c>
      <c r="L20" s="1">
        <v>21</v>
      </c>
      <c r="N20" t="s">
        <v>154</v>
      </c>
      <c r="P20" t="s">
        <v>196</v>
      </c>
      <c r="Q20" t="s">
        <v>558</v>
      </c>
      <c r="R20" t="s">
        <v>195</v>
      </c>
      <c r="S20" t="s">
        <v>319</v>
      </c>
      <c r="T20" t="s">
        <v>320</v>
      </c>
      <c r="U20" t="s">
        <v>562</v>
      </c>
      <c r="V20" s="1">
        <v>0</v>
      </c>
      <c r="X20" t="s">
        <v>194</v>
      </c>
      <c r="Y20" t="s">
        <v>191</v>
      </c>
      <c r="Z20" t="s">
        <v>148</v>
      </c>
      <c r="AB20" t="s">
        <v>192</v>
      </c>
      <c r="AC20" t="s">
        <v>191</v>
      </c>
      <c r="AD20" t="s">
        <v>190</v>
      </c>
      <c r="AF20" t="s">
        <v>189</v>
      </c>
      <c r="AG20" t="s">
        <v>193</v>
      </c>
      <c r="AH20" s="50">
        <v>145000</v>
      </c>
      <c r="AI20" s="50">
        <v>72000</v>
      </c>
      <c r="AK20" t="s">
        <v>519</v>
      </c>
      <c r="AL20" t="s">
        <v>11</v>
      </c>
      <c r="AM20" t="s">
        <v>11</v>
      </c>
      <c r="AN20" t="s">
        <v>143</v>
      </c>
      <c r="AO20" t="s">
        <v>680</v>
      </c>
      <c r="AP20" t="s">
        <v>613</v>
      </c>
      <c r="AT20" s="50">
        <v>72000</v>
      </c>
      <c r="AU20" t="s">
        <v>142</v>
      </c>
      <c r="AV20" t="s">
        <v>82</v>
      </c>
      <c r="AW20" t="s">
        <v>251</v>
      </c>
      <c r="AX20" t="s">
        <v>273</v>
      </c>
      <c r="AY20" t="s">
        <v>614</v>
      </c>
      <c r="AZ20" t="s">
        <v>16</v>
      </c>
      <c r="BA20" s="53">
        <v>114</v>
      </c>
    </row>
    <row r="21" spans="1:53">
      <c r="A21" t="s">
        <v>1101</v>
      </c>
      <c r="D21" t="s">
        <v>528</v>
      </c>
      <c r="E21" t="s">
        <v>521</v>
      </c>
      <c r="F21" s="2">
        <v>41579</v>
      </c>
      <c r="J21" t="s">
        <v>249</v>
      </c>
      <c r="K21" s="2">
        <v>42038</v>
      </c>
      <c r="L21" s="1">
        <v>34</v>
      </c>
      <c r="N21" t="s">
        <v>154</v>
      </c>
      <c r="P21" t="s">
        <v>702</v>
      </c>
      <c r="Q21" t="s">
        <v>4</v>
      </c>
      <c r="R21" t="s">
        <v>89</v>
      </c>
      <c r="S21" t="s">
        <v>1102</v>
      </c>
      <c r="U21" t="s">
        <v>522</v>
      </c>
      <c r="V21" s="1">
        <v>0</v>
      </c>
      <c r="X21" t="s">
        <v>367</v>
      </c>
      <c r="Y21" t="s">
        <v>368</v>
      </c>
      <c r="Z21" t="s">
        <v>148</v>
      </c>
      <c r="AB21" t="s">
        <v>370</v>
      </c>
      <c r="AD21" t="s">
        <v>148</v>
      </c>
      <c r="AF21" t="s">
        <v>371</v>
      </c>
      <c r="AG21" t="s">
        <v>369</v>
      </c>
      <c r="AH21" s="50">
        <v>100000</v>
      </c>
      <c r="AI21" s="50">
        <v>67000</v>
      </c>
      <c r="AK21" t="s">
        <v>519</v>
      </c>
      <c r="AL21" t="s">
        <v>11</v>
      </c>
      <c r="AM21" t="s">
        <v>11</v>
      </c>
      <c r="AN21" t="s">
        <v>143</v>
      </c>
      <c r="AP21" t="s">
        <v>613</v>
      </c>
      <c r="AT21" s="50">
        <v>67000</v>
      </c>
      <c r="AU21" t="s">
        <v>142</v>
      </c>
      <c r="AV21" t="s">
        <v>83</v>
      </c>
      <c r="AW21" t="s">
        <v>251</v>
      </c>
      <c r="AX21" t="s">
        <v>666</v>
      </c>
      <c r="AY21" t="s">
        <v>614</v>
      </c>
      <c r="BA21" s="53">
        <v>143</v>
      </c>
    </row>
    <row r="22" spans="1:53">
      <c r="A22" t="s">
        <v>1101</v>
      </c>
      <c r="D22" t="s">
        <v>620</v>
      </c>
      <c r="E22" t="s">
        <v>561</v>
      </c>
      <c r="F22" s="2">
        <v>41655</v>
      </c>
      <c r="J22" t="s">
        <v>532</v>
      </c>
      <c r="K22" s="2">
        <v>42020</v>
      </c>
      <c r="L22" s="1">
        <v>42</v>
      </c>
      <c r="N22" t="s">
        <v>160</v>
      </c>
      <c r="P22" t="s">
        <v>705</v>
      </c>
      <c r="Q22" t="s">
        <v>622</v>
      </c>
      <c r="R22" t="s">
        <v>622</v>
      </c>
      <c r="S22" t="s">
        <v>260</v>
      </c>
      <c r="T22" t="s">
        <v>696</v>
      </c>
      <c r="U22" t="s">
        <v>529</v>
      </c>
      <c r="V22" s="1">
        <v>0</v>
      </c>
      <c r="AK22" t="s">
        <v>632</v>
      </c>
      <c r="AL22" t="s">
        <v>706</v>
      </c>
      <c r="AM22" t="s">
        <v>168</v>
      </c>
      <c r="AN22" t="s">
        <v>143</v>
      </c>
      <c r="AP22" t="s">
        <v>613</v>
      </c>
      <c r="AR22" s="50">
        <v>0</v>
      </c>
      <c r="AS22" s="50">
        <v>0</v>
      </c>
      <c r="AT22" s="50">
        <v>0</v>
      </c>
      <c r="AU22" t="s">
        <v>186</v>
      </c>
      <c r="AV22" t="s">
        <v>83</v>
      </c>
      <c r="AY22" t="s">
        <v>614</v>
      </c>
      <c r="BA22" s="53">
        <v>173</v>
      </c>
    </row>
    <row r="23" spans="1:53">
      <c r="A23" t="s">
        <v>11</v>
      </c>
      <c r="B23" s="2">
        <v>41711</v>
      </c>
      <c r="C23" s="2">
        <v>41596</v>
      </c>
      <c r="D23" t="s">
        <v>528</v>
      </c>
      <c r="E23" t="s">
        <v>521</v>
      </c>
      <c r="F23" s="2">
        <v>41579</v>
      </c>
      <c r="G23" s="2">
        <v>41701</v>
      </c>
      <c r="H23" s="2">
        <v>41701</v>
      </c>
      <c r="I23" s="2">
        <v>41596</v>
      </c>
      <c r="J23" t="s">
        <v>248</v>
      </c>
      <c r="K23" s="2">
        <v>41711</v>
      </c>
      <c r="L23" s="1">
        <v>31</v>
      </c>
      <c r="M23" s="1">
        <v>16</v>
      </c>
      <c r="N23" t="s">
        <v>313</v>
      </c>
      <c r="P23" t="s">
        <v>672</v>
      </c>
      <c r="Q23" t="s">
        <v>4</v>
      </c>
      <c r="R23" t="s">
        <v>538</v>
      </c>
      <c r="S23" t="s">
        <v>319</v>
      </c>
      <c r="T23" t="s">
        <v>320</v>
      </c>
      <c r="U23" t="s">
        <v>529</v>
      </c>
      <c r="V23" s="1">
        <v>0</v>
      </c>
      <c r="X23" t="s">
        <v>332</v>
      </c>
      <c r="Y23" t="s">
        <v>333</v>
      </c>
      <c r="Z23" t="s">
        <v>339</v>
      </c>
      <c r="AA23" t="s">
        <v>334</v>
      </c>
      <c r="AB23" t="s">
        <v>673</v>
      </c>
      <c r="AC23" t="s">
        <v>333</v>
      </c>
      <c r="AD23" t="s">
        <v>337</v>
      </c>
      <c r="AF23" t="s">
        <v>674</v>
      </c>
      <c r="AG23" t="s">
        <v>675</v>
      </c>
      <c r="AH23" s="50">
        <v>200000</v>
      </c>
      <c r="AI23" s="50">
        <v>57000</v>
      </c>
      <c r="AK23" t="s">
        <v>519</v>
      </c>
      <c r="AM23" t="s">
        <v>11</v>
      </c>
      <c r="AN23" t="s">
        <v>143</v>
      </c>
      <c r="AP23" t="s">
        <v>613</v>
      </c>
      <c r="AQ23" s="50">
        <v>0</v>
      </c>
      <c r="AR23" s="50">
        <v>0</v>
      </c>
      <c r="AS23" s="50">
        <v>0</v>
      </c>
      <c r="AT23" s="50">
        <v>57000</v>
      </c>
      <c r="AU23" t="s">
        <v>148</v>
      </c>
      <c r="AV23" t="s">
        <v>83</v>
      </c>
      <c r="AY23" t="s">
        <v>614</v>
      </c>
      <c r="BA23" s="53">
        <v>151</v>
      </c>
    </row>
    <row r="24" spans="1:53">
      <c r="A24" t="s">
        <v>1101</v>
      </c>
      <c r="D24" t="s">
        <v>620</v>
      </c>
      <c r="E24" t="s">
        <v>561</v>
      </c>
      <c r="F24" s="2">
        <v>41653</v>
      </c>
      <c r="J24" t="s">
        <v>248</v>
      </c>
      <c r="K24" s="2">
        <v>42020</v>
      </c>
      <c r="L24" s="1">
        <v>40</v>
      </c>
      <c r="N24" t="s">
        <v>154</v>
      </c>
      <c r="P24" t="s">
        <v>187</v>
      </c>
      <c r="Q24" t="s">
        <v>622</v>
      </c>
      <c r="R24" t="s">
        <v>622</v>
      </c>
      <c r="S24" t="s">
        <v>676</v>
      </c>
      <c r="T24" t="s">
        <v>623</v>
      </c>
      <c r="U24" t="s">
        <v>522</v>
      </c>
      <c r="V24" s="1">
        <v>0</v>
      </c>
      <c r="AH24" s="50">
        <v>1200000</v>
      </c>
      <c r="AI24" s="50">
        <v>250000</v>
      </c>
      <c r="AK24" t="s">
        <v>632</v>
      </c>
      <c r="AL24" t="s">
        <v>295</v>
      </c>
      <c r="AM24" t="s">
        <v>168</v>
      </c>
      <c r="AN24" t="s">
        <v>143</v>
      </c>
      <c r="AP24" t="s">
        <v>613</v>
      </c>
      <c r="AQ24" s="50">
        <v>375000</v>
      </c>
      <c r="AT24" s="50">
        <v>825000</v>
      </c>
      <c r="AU24" t="s">
        <v>142</v>
      </c>
      <c r="AV24" t="s">
        <v>82</v>
      </c>
      <c r="AY24" t="s">
        <v>614</v>
      </c>
      <c r="BA24" s="53">
        <v>116</v>
      </c>
    </row>
    <row r="25" spans="1:53">
      <c r="A25" t="s">
        <v>1101</v>
      </c>
      <c r="D25" t="s">
        <v>620</v>
      </c>
      <c r="E25" t="s">
        <v>561</v>
      </c>
      <c r="F25" s="2">
        <v>41656</v>
      </c>
      <c r="J25" t="s">
        <v>112</v>
      </c>
      <c r="K25" s="2">
        <v>42020</v>
      </c>
      <c r="L25" s="1">
        <v>43</v>
      </c>
      <c r="N25" t="s">
        <v>154</v>
      </c>
      <c r="P25" t="s">
        <v>169</v>
      </c>
      <c r="Q25" t="s">
        <v>622</v>
      </c>
      <c r="R25" t="s">
        <v>622</v>
      </c>
      <c r="T25" t="s">
        <v>623</v>
      </c>
      <c r="U25" t="s">
        <v>522</v>
      </c>
      <c r="V25" s="1">
        <v>0</v>
      </c>
      <c r="AK25" t="s">
        <v>632</v>
      </c>
      <c r="AL25" t="s">
        <v>677</v>
      </c>
      <c r="AM25" t="s">
        <v>168</v>
      </c>
      <c r="AN25" t="s">
        <v>143</v>
      </c>
      <c r="AP25" t="s">
        <v>613</v>
      </c>
      <c r="AR25" s="50">
        <v>0</v>
      </c>
      <c r="AS25" s="50">
        <v>0</v>
      </c>
      <c r="AT25" s="50">
        <v>0</v>
      </c>
      <c r="AU25" t="s">
        <v>142</v>
      </c>
      <c r="AV25" t="s">
        <v>83</v>
      </c>
      <c r="AY25" t="s">
        <v>614</v>
      </c>
      <c r="BA25" s="53">
        <v>146</v>
      </c>
    </row>
    <row r="26" spans="1:53">
      <c r="A26" t="s">
        <v>11</v>
      </c>
      <c r="B26" s="2">
        <v>41697</v>
      </c>
      <c r="C26" s="2">
        <v>41617</v>
      </c>
      <c r="D26" t="s">
        <v>126</v>
      </c>
      <c r="E26" t="s">
        <v>521</v>
      </c>
      <c r="F26" s="2">
        <v>41579</v>
      </c>
      <c r="G26" s="2">
        <v>41823</v>
      </c>
      <c r="H26" s="2">
        <v>41782</v>
      </c>
      <c r="I26" s="2">
        <v>41617</v>
      </c>
      <c r="J26" t="s">
        <v>112</v>
      </c>
      <c r="K26" s="2">
        <v>41697</v>
      </c>
      <c r="L26" s="1">
        <v>5</v>
      </c>
      <c r="M26" s="1">
        <v>6</v>
      </c>
      <c r="N26" t="s">
        <v>313</v>
      </c>
      <c r="P26" t="s">
        <v>633</v>
      </c>
      <c r="Q26" t="s">
        <v>4</v>
      </c>
      <c r="R26" t="s">
        <v>520</v>
      </c>
      <c r="S26" t="s">
        <v>319</v>
      </c>
      <c r="T26" t="s">
        <v>320</v>
      </c>
      <c r="U26" t="s">
        <v>522</v>
      </c>
      <c r="V26" s="1">
        <v>0</v>
      </c>
      <c r="X26" t="s">
        <v>388</v>
      </c>
      <c r="Y26" t="s">
        <v>389</v>
      </c>
      <c r="Z26" t="s">
        <v>393</v>
      </c>
      <c r="AA26" t="s">
        <v>468</v>
      </c>
      <c r="AB26" t="s">
        <v>389</v>
      </c>
      <c r="AC26" t="s">
        <v>333</v>
      </c>
      <c r="AD26" t="s">
        <v>391</v>
      </c>
      <c r="AE26" t="s">
        <v>392</v>
      </c>
      <c r="AF26" t="s">
        <v>634</v>
      </c>
      <c r="AG26" t="s">
        <v>469</v>
      </c>
      <c r="AH26" s="50">
        <v>722000</v>
      </c>
      <c r="AI26" s="50">
        <v>567000</v>
      </c>
      <c r="AK26" t="s">
        <v>519</v>
      </c>
      <c r="AM26" t="s">
        <v>11</v>
      </c>
      <c r="AN26" t="s">
        <v>143</v>
      </c>
      <c r="AP26" t="s">
        <v>613</v>
      </c>
      <c r="AQ26" s="50">
        <v>0</v>
      </c>
      <c r="AR26" s="50">
        <v>0</v>
      </c>
      <c r="AS26" s="50">
        <v>0</v>
      </c>
      <c r="AT26" s="50">
        <v>567000</v>
      </c>
      <c r="AU26" t="s">
        <v>148</v>
      </c>
      <c r="AV26" t="s">
        <v>83</v>
      </c>
      <c r="AY26" t="s">
        <v>614</v>
      </c>
      <c r="BA26" s="53">
        <v>165</v>
      </c>
    </row>
    <row r="27" spans="1:53">
      <c r="A27" t="s">
        <v>11</v>
      </c>
      <c r="B27" s="2">
        <v>41712</v>
      </c>
      <c r="C27" s="2">
        <v>41568</v>
      </c>
      <c r="D27" t="s">
        <v>528</v>
      </c>
      <c r="E27" t="s">
        <v>521</v>
      </c>
      <c r="F27" s="2">
        <v>41579</v>
      </c>
      <c r="G27" s="2">
        <v>41774</v>
      </c>
      <c r="H27" s="2">
        <v>41733</v>
      </c>
      <c r="I27" s="2">
        <v>41568</v>
      </c>
      <c r="J27" t="s">
        <v>248</v>
      </c>
      <c r="K27" s="2">
        <v>41712</v>
      </c>
      <c r="L27" s="1">
        <v>12</v>
      </c>
      <c r="M27" s="1">
        <v>38</v>
      </c>
      <c r="N27" t="s">
        <v>313</v>
      </c>
      <c r="P27" t="s">
        <v>687</v>
      </c>
      <c r="Q27" t="s">
        <v>4</v>
      </c>
      <c r="R27" t="s">
        <v>520</v>
      </c>
      <c r="S27" t="s">
        <v>319</v>
      </c>
      <c r="T27" t="s">
        <v>320</v>
      </c>
      <c r="U27" t="s">
        <v>570</v>
      </c>
      <c r="V27" s="1">
        <v>0</v>
      </c>
      <c r="X27" t="s">
        <v>470</v>
      </c>
      <c r="Y27" t="s">
        <v>471</v>
      </c>
      <c r="Z27" t="s">
        <v>473</v>
      </c>
      <c r="AA27" t="s">
        <v>472</v>
      </c>
      <c r="AB27" t="s">
        <v>471</v>
      </c>
      <c r="AC27" t="s">
        <v>333</v>
      </c>
      <c r="AD27" t="s">
        <v>688</v>
      </c>
      <c r="AE27" t="s">
        <v>378</v>
      </c>
      <c r="AF27" t="s">
        <v>337</v>
      </c>
      <c r="AG27" t="s">
        <v>474</v>
      </c>
      <c r="AH27" s="50">
        <v>721000</v>
      </c>
      <c r="AI27" s="50">
        <v>536000</v>
      </c>
      <c r="AK27" t="s">
        <v>519</v>
      </c>
      <c r="AM27" t="s">
        <v>11</v>
      </c>
      <c r="AN27" t="s">
        <v>143</v>
      </c>
      <c r="AP27" t="s">
        <v>613</v>
      </c>
      <c r="AT27" s="50">
        <v>536000</v>
      </c>
      <c r="AU27" t="s">
        <v>148</v>
      </c>
      <c r="AV27" t="s">
        <v>83</v>
      </c>
      <c r="AY27" t="s">
        <v>614</v>
      </c>
      <c r="BA27" s="53">
        <v>121</v>
      </c>
    </row>
    <row r="28" spans="1:53">
      <c r="A28" t="s">
        <v>168</v>
      </c>
      <c r="B28" s="2">
        <v>41718</v>
      </c>
      <c r="C28" s="2">
        <v>41701</v>
      </c>
      <c r="D28" t="s">
        <v>620</v>
      </c>
      <c r="E28" t="s">
        <v>561</v>
      </c>
      <c r="F28" s="2">
        <v>41608</v>
      </c>
      <c r="G28" s="2">
        <v>41893</v>
      </c>
      <c r="H28" s="2">
        <v>41852</v>
      </c>
      <c r="I28" s="2">
        <v>41715</v>
      </c>
      <c r="J28" t="s">
        <v>112</v>
      </c>
      <c r="K28" s="2">
        <v>41718</v>
      </c>
      <c r="L28" s="1">
        <v>71</v>
      </c>
      <c r="M28" s="1">
        <v>62</v>
      </c>
      <c r="N28" t="s">
        <v>313</v>
      </c>
      <c r="P28" t="s">
        <v>707</v>
      </c>
      <c r="Q28" t="s">
        <v>695</v>
      </c>
      <c r="R28" t="s">
        <v>256</v>
      </c>
      <c r="S28" t="s">
        <v>708</v>
      </c>
      <c r="T28" t="s">
        <v>709</v>
      </c>
      <c r="U28" t="s">
        <v>570</v>
      </c>
      <c r="V28" s="1">
        <v>0</v>
      </c>
      <c r="X28" t="s">
        <v>710</v>
      </c>
      <c r="Y28" t="s">
        <v>711</v>
      </c>
      <c r="Z28" t="s">
        <v>712</v>
      </c>
      <c r="AA28" t="s">
        <v>711</v>
      </c>
      <c r="AB28" t="s">
        <v>713</v>
      </c>
      <c r="AC28" t="s">
        <v>714</v>
      </c>
      <c r="AD28" t="s">
        <v>715</v>
      </c>
      <c r="AE28" t="s">
        <v>716</v>
      </c>
      <c r="AF28" t="s">
        <v>713</v>
      </c>
      <c r="AG28" t="s">
        <v>717</v>
      </c>
      <c r="AK28" t="s">
        <v>632</v>
      </c>
      <c r="AL28" t="s">
        <v>295</v>
      </c>
      <c r="AM28" t="s">
        <v>168</v>
      </c>
      <c r="AN28" t="s">
        <v>718</v>
      </c>
      <c r="AP28" t="s">
        <v>613</v>
      </c>
      <c r="AR28" s="44">
        <v>0</v>
      </c>
      <c r="AS28" s="44">
        <v>0</v>
      </c>
      <c r="AT28" s="44">
        <v>0</v>
      </c>
      <c r="AU28" t="s">
        <v>148</v>
      </c>
      <c r="AV28" t="s">
        <v>83</v>
      </c>
      <c r="AY28" t="s">
        <v>614</v>
      </c>
      <c r="BA28" s="53">
        <v>149</v>
      </c>
    </row>
    <row r="29" spans="1:53">
      <c r="A29" t="s">
        <v>1101</v>
      </c>
      <c r="D29" t="s">
        <v>620</v>
      </c>
      <c r="E29" t="s">
        <v>561</v>
      </c>
      <c r="F29" s="2">
        <v>41645</v>
      </c>
      <c r="G29" s="2">
        <v>42275</v>
      </c>
      <c r="H29" s="2">
        <v>42234</v>
      </c>
      <c r="I29" s="2">
        <v>42067</v>
      </c>
      <c r="J29" t="s">
        <v>4</v>
      </c>
      <c r="K29" s="2">
        <v>42020</v>
      </c>
      <c r="L29" s="1">
        <v>53</v>
      </c>
      <c r="N29" t="s">
        <v>154</v>
      </c>
      <c r="P29" t="s">
        <v>254</v>
      </c>
      <c r="Q29" t="s">
        <v>720</v>
      </c>
      <c r="R29" t="s">
        <v>158</v>
      </c>
      <c r="T29" t="s">
        <v>157</v>
      </c>
      <c r="U29" t="s">
        <v>109</v>
      </c>
      <c r="V29" s="1">
        <v>0</v>
      </c>
      <c r="X29" t="s">
        <v>813</v>
      </c>
      <c r="Y29" t="s">
        <v>814</v>
      </c>
      <c r="Z29" t="s">
        <v>815</v>
      </c>
      <c r="AA29" t="s">
        <v>814</v>
      </c>
      <c r="AB29" t="s">
        <v>816</v>
      </c>
      <c r="AC29" t="s">
        <v>817</v>
      </c>
      <c r="AD29" t="s">
        <v>575</v>
      </c>
      <c r="AE29" t="s">
        <v>629</v>
      </c>
      <c r="AF29" t="s">
        <v>698</v>
      </c>
      <c r="AG29" t="s">
        <v>699</v>
      </c>
      <c r="AH29" s="50">
        <v>60000</v>
      </c>
      <c r="AI29" s="50">
        <v>200000</v>
      </c>
      <c r="AK29" t="s">
        <v>632</v>
      </c>
      <c r="AL29" t="s">
        <v>818</v>
      </c>
      <c r="AM29" t="s">
        <v>168</v>
      </c>
      <c r="AN29" t="s">
        <v>143</v>
      </c>
      <c r="AO29" t="s">
        <v>1103</v>
      </c>
      <c r="AP29" t="s">
        <v>613</v>
      </c>
      <c r="AQ29" s="50">
        <v>0</v>
      </c>
      <c r="AR29" s="50">
        <v>0</v>
      </c>
      <c r="AS29" s="50">
        <v>0</v>
      </c>
      <c r="AT29" s="50">
        <v>60000</v>
      </c>
      <c r="AU29" t="s">
        <v>142</v>
      </c>
      <c r="AV29" t="s">
        <v>82</v>
      </c>
      <c r="AY29" t="s">
        <v>614</v>
      </c>
      <c r="BA29" s="53">
        <v>102</v>
      </c>
    </row>
    <row r="30" spans="1:53">
      <c r="A30" t="s">
        <v>663</v>
      </c>
      <c r="B30" s="2">
        <v>41752</v>
      </c>
      <c r="C30" s="2">
        <v>41620</v>
      </c>
      <c r="D30" t="s">
        <v>112</v>
      </c>
      <c r="E30" t="s">
        <v>249</v>
      </c>
      <c r="F30" s="2">
        <v>41579</v>
      </c>
      <c r="G30" s="2">
        <v>41772</v>
      </c>
      <c r="H30" s="2">
        <v>41731</v>
      </c>
      <c r="I30" s="2">
        <v>41771</v>
      </c>
      <c r="J30" t="s">
        <v>249</v>
      </c>
      <c r="K30" s="2">
        <v>41752</v>
      </c>
      <c r="L30" s="1">
        <v>104</v>
      </c>
      <c r="M30" s="1">
        <v>91</v>
      </c>
      <c r="N30" t="s">
        <v>313</v>
      </c>
      <c r="P30" t="s">
        <v>890</v>
      </c>
      <c r="Q30" t="s">
        <v>808</v>
      </c>
      <c r="R30" t="s">
        <v>808</v>
      </c>
      <c r="S30" t="s">
        <v>809</v>
      </c>
      <c r="T30" t="s">
        <v>810</v>
      </c>
      <c r="U30" t="s">
        <v>529</v>
      </c>
      <c r="V30" s="1">
        <v>0</v>
      </c>
      <c r="X30" t="s">
        <v>891</v>
      </c>
      <c r="Y30" t="s">
        <v>368</v>
      </c>
      <c r="Z30" t="s">
        <v>889</v>
      </c>
      <c r="AB30" t="s">
        <v>370</v>
      </c>
      <c r="AD30" t="s">
        <v>148</v>
      </c>
      <c r="AF30" t="s">
        <v>371</v>
      </c>
      <c r="AG30" t="s">
        <v>369</v>
      </c>
      <c r="AH30" s="50">
        <v>100000</v>
      </c>
      <c r="AI30" s="50">
        <v>67000</v>
      </c>
      <c r="AK30" t="s">
        <v>812</v>
      </c>
      <c r="AL30" t="s">
        <v>663</v>
      </c>
      <c r="AM30" t="s">
        <v>663</v>
      </c>
      <c r="AN30" t="s">
        <v>143</v>
      </c>
      <c r="AP30" t="s">
        <v>613</v>
      </c>
      <c r="AQ30" s="50">
        <v>0</v>
      </c>
      <c r="AR30" s="50">
        <v>0</v>
      </c>
      <c r="AS30" s="50">
        <v>0</v>
      </c>
      <c r="AT30" s="50">
        <v>67000</v>
      </c>
      <c r="AU30" t="s">
        <v>148</v>
      </c>
      <c r="AV30" t="s">
        <v>83</v>
      </c>
      <c r="AY30" t="s">
        <v>614</v>
      </c>
      <c r="BA30" s="53">
        <v>149</v>
      </c>
    </row>
    <row r="31" spans="1:53">
      <c r="A31" t="s">
        <v>168</v>
      </c>
      <c r="B31" s="2">
        <v>41718</v>
      </c>
      <c r="C31" s="2">
        <v>41730</v>
      </c>
      <c r="D31" t="s">
        <v>620</v>
      </c>
      <c r="E31" t="s">
        <v>561</v>
      </c>
      <c r="F31" s="2">
        <v>41608</v>
      </c>
      <c r="G31" s="2">
        <v>41838</v>
      </c>
      <c r="H31" s="2">
        <v>41799</v>
      </c>
      <c r="I31" s="2">
        <v>41730</v>
      </c>
      <c r="J31" t="s">
        <v>112</v>
      </c>
      <c r="K31" s="2">
        <v>41718</v>
      </c>
      <c r="L31" s="1">
        <v>66</v>
      </c>
      <c r="M31" s="1">
        <v>63</v>
      </c>
      <c r="N31" t="s">
        <v>313</v>
      </c>
      <c r="P31" t="s">
        <v>733</v>
      </c>
      <c r="Q31" t="s">
        <v>622</v>
      </c>
      <c r="R31" t="s">
        <v>622</v>
      </c>
      <c r="S31" t="s">
        <v>734</v>
      </c>
      <c r="T31" t="s">
        <v>735</v>
      </c>
      <c r="U31" t="s">
        <v>562</v>
      </c>
      <c r="V31" s="1">
        <v>0</v>
      </c>
      <c r="X31" t="s">
        <v>736</v>
      </c>
      <c r="Y31" t="s">
        <v>737</v>
      </c>
      <c r="Z31" t="s">
        <v>738</v>
      </c>
      <c r="AA31" t="s">
        <v>728</v>
      </c>
      <c r="AB31" t="s">
        <v>737</v>
      </c>
      <c r="AC31" t="s">
        <v>739</v>
      </c>
      <c r="AD31" t="s">
        <v>740</v>
      </c>
      <c r="AE31" t="s">
        <v>728</v>
      </c>
      <c r="AF31" t="s">
        <v>741</v>
      </c>
      <c r="AK31" t="s">
        <v>632</v>
      </c>
      <c r="AL31" t="s">
        <v>742</v>
      </c>
      <c r="AM31" t="s">
        <v>168</v>
      </c>
      <c r="AN31" t="s">
        <v>732</v>
      </c>
      <c r="AP31" t="s">
        <v>613</v>
      </c>
      <c r="AR31" s="45">
        <v>0</v>
      </c>
      <c r="AS31" s="45">
        <v>0</v>
      </c>
      <c r="AT31" s="45">
        <v>0</v>
      </c>
      <c r="AU31" t="s">
        <v>148</v>
      </c>
      <c r="AV31" t="s">
        <v>83</v>
      </c>
      <c r="AY31" t="s">
        <v>614</v>
      </c>
      <c r="BA31" s="53">
        <v>181</v>
      </c>
    </row>
    <row r="32" spans="1:53">
      <c r="A32" t="s">
        <v>11</v>
      </c>
      <c r="B32" s="2">
        <v>41725</v>
      </c>
      <c r="C32" s="2">
        <v>41646</v>
      </c>
      <c r="D32" t="s">
        <v>112</v>
      </c>
      <c r="E32" t="s">
        <v>521</v>
      </c>
      <c r="F32" s="2">
        <v>41579</v>
      </c>
      <c r="G32" s="2">
        <v>41852</v>
      </c>
      <c r="H32" s="2">
        <v>41813</v>
      </c>
      <c r="I32" s="2">
        <v>41646</v>
      </c>
      <c r="J32" t="s">
        <v>561</v>
      </c>
      <c r="K32" s="2">
        <v>41725</v>
      </c>
      <c r="L32" s="1">
        <v>29</v>
      </c>
      <c r="M32" s="1">
        <v>76</v>
      </c>
      <c r="N32" t="s">
        <v>313</v>
      </c>
      <c r="P32" t="s">
        <v>691</v>
      </c>
      <c r="Q32" t="s">
        <v>4</v>
      </c>
      <c r="R32" t="s">
        <v>520</v>
      </c>
      <c r="S32" t="s">
        <v>319</v>
      </c>
      <c r="T32" t="s">
        <v>320</v>
      </c>
      <c r="U32" t="s">
        <v>529</v>
      </c>
      <c r="V32" s="1">
        <v>0</v>
      </c>
      <c r="X32" t="s">
        <v>348</v>
      </c>
      <c r="Y32" t="s">
        <v>349</v>
      </c>
      <c r="Z32" t="s">
        <v>355</v>
      </c>
      <c r="AA32" t="s">
        <v>350</v>
      </c>
      <c r="AB32" t="s">
        <v>692</v>
      </c>
      <c r="AC32" t="s">
        <v>349</v>
      </c>
      <c r="AD32" t="s">
        <v>561</v>
      </c>
      <c r="AE32" t="s">
        <v>693</v>
      </c>
      <c r="AF32" t="s">
        <v>694</v>
      </c>
      <c r="AG32" t="s">
        <v>356</v>
      </c>
      <c r="AH32" s="50">
        <v>500000</v>
      </c>
      <c r="AI32" s="50">
        <v>370000</v>
      </c>
      <c r="AK32" t="s">
        <v>519</v>
      </c>
      <c r="AM32" t="s">
        <v>11</v>
      </c>
      <c r="AN32" t="s">
        <v>143</v>
      </c>
      <c r="AP32" t="s">
        <v>613</v>
      </c>
      <c r="AT32" s="50">
        <v>370000</v>
      </c>
      <c r="AU32" t="s">
        <v>148</v>
      </c>
      <c r="AV32" t="s">
        <v>83</v>
      </c>
      <c r="AY32" t="s">
        <v>614</v>
      </c>
      <c r="BA32" s="53">
        <v>114</v>
      </c>
    </row>
    <row r="33" spans="1:53">
      <c r="A33" t="s">
        <v>1101</v>
      </c>
      <c r="D33" t="s">
        <v>528</v>
      </c>
      <c r="E33" t="s">
        <v>521</v>
      </c>
      <c r="F33" s="2">
        <v>41579</v>
      </c>
      <c r="G33" s="2">
        <v>42257</v>
      </c>
      <c r="H33" s="2">
        <v>42216</v>
      </c>
      <c r="I33" s="2">
        <v>42051</v>
      </c>
      <c r="J33" t="s">
        <v>249</v>
      </c>
      <c r="K33" s="2">
        <v>42013</v>
      </c>
      <c r="L33" s="1">
        <v>30</v>
      </c>
      <c r="N33" t="s">
        <v>160</v>
      </c>
      <c r="P33" t="s">
        <v>156</v>
      </c>
      <c r="Q33" t="s">
        <v>4</v>
      </c>
      <c r="R33" t="s">
        <v>520</v>
      </c>
      <c r="S33" t="s">
        <v>319</v>
      </c>
      <c r="T33" t="s">
        <v>320</v>
      </c>
      <c r="U33" t="s">
        <v>570</v>
      </c>
      <c r="V33" s="1">
        <v>0</v>
      </c>
      <c r="X33" t="s">
        <v>152</v>
      </c>
      <c r="Y33" t="s">
        <v>151</v>
      </c>
      <c r="Z33" t="s">
        <v>150</v>
      </c>
      <c r="AA33" t="s">
        <v>144</v>
      </c>
      <c r="AB33" t="s">
        <v>148</v>
      </c>
      <c r="AD33" t="s">
        <v>155</v>
      </c>
      <c r="AE33" t="s">
        <v>146</v>
      </c>
      <c r="AF33" t="s">
        <v>145</v>
      </c>
      <c r="AG33" t="s">
        <v>149</v>
      </c>
      <c r="AH33" s="50">
        <v>300000</v>
      </c>
      <c r="AI33" s="50">
        <v>130000</v>
      </c>
      <c r="AK33" t="s">
        <v>519</v>
      </c>
      <c r="AL33" t="s">
        <v>11</v>
      </c>
      <c r="AM33" t="s">
        <v>11</v>
      </c>
      <c r="AN33" t="s">
        <v>143</v>
      </c>
      <c r="AP33" t="s">
        <v>613</v>
      </c>
      <c r="AT33" s="50">
        <v>130000</v>
      </c>
      <c r="AU33" t="s">
        <v>186</v>
      </c>
      <c r="AV33" t="s">
        <v>82</v>
      </c>
      <c r="AY33" t="s">
        <v>614</v>
      </c>
      <c r="BA33" s="53">
        <v>110</v>
      </c>
    </row>
    <row r="34" spans="1:53">
      <c r="A34" t="s">
        <v>1101</v>
      </c>
      <c r="D34" t="s">
        <v>528</v>
      </c>
      <c r="E34" t="s">
        <v>521</v>
      </c>
      <c r="F34" s="2">
        <v>41579</v>
      </c>
      <c r="J34" t="s">
        <v>575</v>
      </c>
      <c r="K34" s="2">
        <v>41753</v>
      </c>
      <c r="L34" s="1">
        <v>23</v>
      </c>
      <c r="N34" t="s">
        <v>154</v>
      </c>
      <c r="P34" t="s">
        <v>184</v>
      </c>
      <c r="Q34" t="s">
        <v>4</v>
      </c>
      <c r="R34" t="s">
        <v>520</v>
      </c>
      <c r="S34" t="s">
        <v>319</v>
      </c>
      <c r="T34" t="s">
        <v>320</v>
      </c>
      <c r="U34" t="s">
        <v>522</v>
      </c>
      <c r="V34" s="1">
        <v>0</v>
      </c>
      <c r="X34" t="s">
        <v>183</v>
      </c>
      <c r="Y34" t="s">
        <v>182</v>
      </c>
      <c r="Z34" t="s">
        <v>181</v>
      </c>
      <c r="AB34" t="s">
        <v>179</v>
      </c>
      <c r="AC34" t="s">
        <v>178</v>
      </c>
      <c r="AD34" t="s">
        <v>177</v>
      </c>
      <c r="AE34" t="s">
        <v>176</v>
      </c>
      <c r="AF34" t="s">
        <v>175</v>
      </c>
      <c r="AG34" t="s">
        <v>180</v>
      </c>
      <c r="AH34" s="50">
        <v>125000</v>
      </c>
      <c r="AI34" s="50">
        <v>75000</v>
      </c>
      <c r="AK34" t="s">
        <v>519</v>
      </c>
      <c r="AL34" t="s">
        <v>11</v>
      </c>
      <c r="AM34" t="s">
        <v>11</v>
      </c>
      <c r="AN34" t="s">
        <v>143</v>
      </c>
      <c r="AP34" t="s">
        <v>613</v>
      </c>
      <c r="AQ34" s="50">
        <v>0</v>
      </c>
      <c r="AR34" s="50">
        <v>0</v>
      </c>
      <c r="AS34" s="50">
        <v>0</v>
      </c>
      <c r="AT34" s="50">
        <v>75000</v>
      </c>
      <c r="AU34" t="s">
        <v>142</v>
      </c>
      <c r="AV34" t="s">
        <v>83</v>
      </c>
      <c r="AW34" t="s">
        <v>251</v>
      </c>
      <c r="AX34" t="s">
        <v>112</v>
      </c>
      <c r="AY34" t="s">
        <v>614</v>
      </c>
      <c r="AZ34" t="s">
        <v>16</v>
      </c>
      <c r="BA34" s="53">
        <v>183</v>
      </c>
    </row>
    <row r="35" spans="1:53">
      <c r="A35" t="s">
        <v>1101</v>
      </c>
      <c r="D35" t="s">
        <v>112</v>
      </c>
      <c r="E35" t="s">
        <v>521</v>
      </c>
      <c r="F35" s="2">
        <v>41579</v>
      </c>
      <c r="G35" s="2">
        <v>42236</v>
      </c>
      <c r="H35" s="2">
        <v>42195</v>
      </c>
      <c r="I35" s="2">
        <v>42030</v>
      </c>
      <c r="J35" t="s">
        <v>249</v>
      </c>
      <c r="K35" s="2">
        <v>42013</v>
      </c>
      <c r="L35" s="1">
        <v>19</v>
      </c>
      <c r="N35" t="s">
        <v>160</v>
      </c>
      <c r="P35" t="s">
        <v>220</v>
      </c>
      <c r="Q35" t="s">
        <v>4</v>
      </c>
      <c r="R35" t="s">
        <v>520</v>
      </c>
      <c r="S35" t="s">
        <v>319</v>
      </c>
      <c r="T35" t="s">
        <v>320</v>
      </c>
      <c r="U35" t="s">
        <v>522</v>
      </c>
      <c r="V35" s="1">
        <v>0</v>
      </c>
      <c r="X35" t="s">
        <v>219</v>
      </c>
      <c r="Y35" t="s">
        <v>215</v>
      </c>
      <c r="Z35" t="s">
        <v>218</v>
      </c>
      <c r="AA35" t="s">
        <v>211</v>
      </c>
      <c r="AB35" t="s">
        <v>216</v>
      </c>
      <c r="AC35" t="s">
        <v>215</v>
      </c>
      <c r="AD35" t="s">
        <v>214</v>
      </c>
      <c r="AE35" t="s">
        <v>213</v>
      </c>
      <c r="AF35" t="s">
        <v>212</v>
      </c>
      <c r="AG35" t="s">
        <v>217</v>
      </c>
      <c r="AH35" s="50">
        <v>1000000</v>
      </c>
      <c r="AI35" s="50">
        <v>722000</v>
      </c>
      <c r="AK35" t="s">
        <v>519</v>
      </c>
      <c r="AL35" t="s">
        <v>11</v>
      </c>
      <c r="AM35" t="s">
        <v>11</v>
      </c>
      <c r="AN35" t="s">
        <v>143</v>
      </c>
      <c r="AO35" t="s">
        <v>678</v>
      </c>
      <c r="AP35" t="s">
        <v>613</v>
      </c>
      <c r="AQ35" s="50">
        <v>0</v>
      </c>
      <c r="AR35" s="50">
        <v>0</v>
      </c>
      <c r="AS35" s="50">
        <v>0</v>
      </c>
      <c r="AT35" s="50">
        <v>722000</v>
      </c>
      <c r="AU35" t="s">
        <v>186</v>
      </c>
      <c r="AV35" t="s">
        <v>82</v>
      </c>
      <c r="AW35" t="s">
        <v>251</v>
      </c>
      <c r="AX35" t="s">
        <v>273</v>
      </c>
      <c r="AY35" t="s">
        <v>614</v>
      </c>
      <c r="BA35" s="53">
        <v>124</v>
      </c>
    </row>
    <row r="36" spans="1:53">
      <c r="A36" t="s">
        <v>1101</v>
      </c>
      <c r="D36" t="s">
        <v>112</v>
      </c>
      <c r="E36" t="s">
        <v>806</v>
      </c>
      <c r="F36" s="2">
        <v>41579</v>
      </c>
      <c r="G36" s="2">
        <v>41921</v>
      </c>
      <c r="H36" s="2">
        <v>41880</v>
      </c>
      <c r="I36" s="2">
        <v>41771</v>
      </c>
      <c r="J36" t="s">
        <v>561</v>
      </c>
      <c r="K36" s="2">
        <v>41760</v>
      </c>
      <c r="L36" s="1">
        <v>103</v>
      </c>
      <c r="N36" t="s">
        <v>160</v>
      </c>
      <c r="P36" t="s">
        <v>887</v>
      </c>
      <c r="Q36" t="s">
        <v>808</v>
      </c>
      <c r="R36" t="s">
        <v>808</v>
      </c>
      <c r="S36" t="s">
        <v>809</v>
      </c>
      <c r="T36" t="s">
        <v>810</v>
      </c>
      <c r="U36" t="s">
        <v>529</v>
      </c>
      <c r="V36" s="1">
        <v>0</v>
      </c>
      <c r="X36" t="s">
        <v>888</v>
      </c>
      <c r="Z36" t="s">
        <v>889</v>
      </c>
      <c r="AH36" s="50">
        <v>500000</v>
      </c>
      <c r="AI36" s="50">
        <v>380000</v>
      </c>
      <c r="AK36" t="s">
        <v>812</v>
      </c>
      <c r="AL36" t="s">
        <v>663</v>
      </c>
      <c r="AM36" t="s">
        <v>663</v>
      </c>
      <c r="AN36" t="s">
        <v>143</v>
      </c>
      <c r="AP36" t="s">
        <v>613</v>
      </c>
      <c r="AQ36" s="50">
        <v>0</v>
      </c>
      <c r="AR36" s="50">
        <v>0</v>
      </c>
      <c r="AS36" s="50">
        <v>0</v>
      </c>
      <c r="AT36" s="50">
        <v>380000</v>
      </c>
      <c r="AU36" t="s">
        <v>186</v>
      </c>
      <c r="AV36" t="s">
        <v>82</v>
      </c>
      <c r="AY36" t="s">
        <v>614</v>
      </c>
      <c r="BA36" s="53">
        <v>165</v>
      </c>
    </row>
    <row r="37" spans="1:53">
      <c r="A37" t="s">
        <v>1101</v>
      </c>
      <c r="D37" t="s">
        <v>528</v>
      </c>
      <c r="E37" t="s">
        <v>521</v>
      </c>
      <c r="F37" s="2">
        <v>41579</v>
      </c>
      <c r="G37" s="2">
        <v>42321</v>
      </c>
      <c r="H37" s="2">
        <v>42282</v>
      </c>
      <c r="I37" s="2">
        <v>42115</v>
      </c>
      <c r="J37" t="s">
        <v>249</v>
      </c>
      <c r="K37" s="2">
        <v>42013</v>
      </c>
      <c r="L37" s="1">
        <v>24</v>
      </c>
      <c r="N37" t="s">
        <v>160</v>
      </c>
      <c r="P37" t="s">
        <v>207</v>
      </c>
      <c r="Q37" t="s">
        <v>4</v>
      </c>
      <c r="R37" t="s">
        <v>520</v>
      </c>
      <c r="S37" t="s">
        <v>1102</v>
      </c>
      <c r="U37" t="s">
        <v>522</v>
      </c>
      <c r="V37" s="1">
        <v>0</v>
      </c>
      <c r="X37" t="s">
        <v>203</v>
      </c>
      <c r="Y37" t="s">
        <v>202</v>
      </c>
      <c r="Z37" t="s">
        <v>148</v>
      </c>
      <c r="AA37" t="s">
        <v>198</v>
      </c>
      <c r="AB37" t="s">
        <v>148</v>
      </c>
      <c r="AC37" t="s">
        <v>202</v>
      </c>
      <c r="AD37" t="s">
        <v>205</v>
      </c>
      <c r="AE37" t="s">
        <v>200</v>
      </c>
      <c r="AF37" t="s">
        <v>199</v>
      </c>
      <c r="AG37" t="s">
        <v>206</v>
      </c>
      <c r="AH37" s="50">
        <v>278000</v>
      </c>
      <c r="AI37" s="50">
        <v>156000</v>
      </c>
      <c r="AK37" t="s">
        <v>519</v>
      </c>
      <c r="AL37" t="s">
        <v>11</v>
      </c>
      <c r="AM37" t="s">
        <v>11</v>
      </c>
      <c r="AN37" t="s">
        <v>143</v>
      </c>
      <c r="AP37" t="s">
        <v>613</v>
      </c>
      <c r="AT37" s="50">
        <v>156000</v>
      </c>
      <c r="AU37" t="s">
        <v>186</v>
      </c>
      <c r="AV37" t="s">
        <v>82</v>
      </c>
      <c r="AW37" t="s">
        <v>251</v>
      </c>
      <c r="AX37" t="s">
        <v>666</v>
      </c>
      <c r="AY37" t="s">
        <v>614</v>
      </c>
      <c r="BA37" s="53">
        <v>109</v>
      </c>
    </row>
    <row r="38" spans="1:53">
      <c r="A38" t="s">
        <v>11</v>
      </c>
      <c r="B38" s="2">
        <v>41711</v>
      </c>
      <c r="C38" s="2">
        <v>41666</v>
      </c>
      <c r="D38" t="s">
        <v>528</v>
      </c>
      <c r="E38" t="s">
        <v>521</v>
      </c>
      <c r="F38" s="2">
        <v>41579</v>
      </c>
      <c r="G38" s="2">
        <v>41765</v>
      </c>
      <c r="H38" s="2">
        <v>41724</v>
      </c>
      <c r="I38" s="2">
        <v>41645</v>
      </c>
      <c r="J38" t="s">
        <v>248</v>
      </c>
      <c r="K38" s="2">
        <v>41816</v>
      </c>
      <c r="L38" s="1">
        <v>17</v>
      </c>
      <c r="M38" s="1">
        <v>21</v>
      </c>
      <c r="N38" t="s">
        <v>313</v>
      </c>
      <c r="P38" t="s">
        <v>667</v>
      </c>
      <c r="Q38" t="s">
        <v>4</v>
      </c>
      <c r="R38" t="s">
        <v>89</v>
      </c>
      <c r="S38" t="s">
        <v>319</v>
      </c>
      <c r="T38" t="s">
        <v>320</v>
      </c>
      <c r="U38" t="s">
        <v>522</v>
      </c>
      <c r="V38" s="1">
        <v>0</v>
      </c>
      <c r="X38" t="s">
        <v>505</v>
      </c>
      <c r="Y38" t="s">
        <v>506</v>
      </c>
      <c r="Z38" t="s">
        <v>668</v>
      </c>
      <c r="AB38" t="s">
        <v>669</v>
      </c>
      <c r="AD38" t="s">
        <v>561</v>
      </c>
      <c r="AF38" t="s">
        <v>670</v>
      </c>
      <c r="AG38" t="s">
        <v>671</v>
      </c>
      <c r="AH38" s="50">
        <v>458000</v>
      </c>
      <c r="AI38" s="50">
        <v>231000</v>
      </c>
      <c r="AK38" t="s">
        <v>519</v>
      </c>
      <c r="AM38" t="s">
        <v>11</v>
      </c>
      <c r="AN38" t="s">
        <v>143</v>
      </c>
      <c r="AP38" t="s">
        <v>613</v>
      </c>
      <c r="AQ38" s="50">
        <v>0</v>
      </c>
      <c r="AR38" s="50">
        <v>0</v>
      </c>
      <c r="AS38" s="50">
        <v>0</v>
      </c>
      <c r="AT38" s="50">
        <v>231000</v>
      </c>
      <c r="AU38" t="s">
        <v>148</v>
      </c>
      <c r="AV38" t="s">
        <v>83</v>
      </c>
      <c r="AY38" t="s">
        <v>614</v>
      </c>
      <c r="BA38" s="53">
        <v>169</v>
      </c>
    </row>
    <row r="39" spans="1:53">
      <c r="A39" t="s">
        <v>1101</v>
      </c>
      <c r="D39" t="s">
        <v>620</v>
      </c>
      <c r="E39" t="s">
        <v>561</v>
      </c>
      <c r="F39" s="2">
        <v>41699</v>
      </c>
      <c r="J39" t="s">
        <v>112</v>
      </c>
      <c r="K39" s="2">
        <v>42020</v>
      </c>
      <c r="L39" s="1">
        <v>47</v>
      </c>
      <c r="N39" t="s">
        <v>154</v>
      </c>
      <c r="P39" t="s">
        <v>775</v>
      </c>
      <c r="Q39" t="s">
        <v>622</v>
      </c>
      <c r="R39" t="s">
        <v>622</v>
      </c>
      <c r="T39" t="s">
        <v>735</v>
      </c>
      <c r="U39" t="s">
        <v>570</v>
      </c>
      <c r="V39" s="1">
        <v>0</v>
      </c>
      <c r="X39" t="s">
        <v>776</v>
      </c>
      <c r="Y39" t="s">
        <v>777</v>
      </c>
      <c r="Z39" t="s">
        <v>778</v>
      </c>
      <c r="AA39" t="s">
        <v>777</v>
      </c>
      <c r="AB39" t="s">
        <v>779</v>
      </c>
      <c r="AD39" t="s">
        <v>628</v>
      </c>
      <c r="AE39" t="s">
        <v>629</v>
      </c>
      <c r="AF39" t="s">
        <v>630</v>
      </c>
      <c r="AG39" t="s">
        <v>699</v>
      </c>
      <c r="AH39" s="50">
        <v>175000</v>
      </c>
      <c r="AI39" s="50">
        <v>53000</v>
      </c>
      <c r="AK39" t="s">
        <v>632</v>
      </c>
      <c r="AL39" t="s">
        <v>185</v>
      </c>
      <c r="AM39" t="s">
        <v>168</v>
      </c>
      <c r="AN39" t="s">
        <v>143</v>
      </c>
      <c r="AP39" t="s">
        <v>613</v>
      </c>
      <c r="AQ39" s="50">
        <v>0</v>
      </c>
      <c r="AR39" s="50">
        <v>0</v>
      </c>
      <c r="AS39" s="50">
        <v>0</v>
      </c>
      <c r="AT39" s="50">
        <v>175000</v>
      </c>
      <c r="AU39" t="s">
        <v>142</v>
      </c>
      <c r="AV39" t="s">
        <v>83</v>
      </c>
      <c r="AY39" t="s">
        <v>753</v>
      </c>
      <c r="BA39" s="53">
        <v>124</v>
      </c>
    </row>
    <row r="40" spans="1:53">
      <c r="A40" t="s">
        <v>1101</v>
      </c>
      <c r="D40" t="s">
        <v>528</v>
      </c>
      <c r="E40" t="s">
        <v>521</v>
      </c>
      <c r="F40" s="2">
        <v>41579</v>
      </c>
      <c r="I40" s="2">
        <v>42247</v>
      </c>
      <c r="J40" t="s">
        <v>561</v>
      </c>
      <c r="K40" s="2">
        <v>42236</v>
      </c>
      <c r="L40" s="1">
        <v>22</v>
      </c>
      <c r="N40" t="s">
        <v>154</v>
      </c>
      <c r="P40" t="s">
        <v>204</v>
      </c>
      <c r="Q40" t="s">
        <v>4</v>
      </c>
      <c r="R40" t="s">
        <v>520</v>
      </c>
      <c r="S40" t="s">
        <v>1102</v>
      </c>
      <c r="U40" t="s">
        <v>109</v>
      </c>
      <c r="V40" s="1">
        <v>0</v>
      </c>
      <c r="X40" t="s">
        <v>203</v>
      </c>
      <c r="Y40" t="s">
        <v>202</v>
      </c>
      <c r="Z40" t="s">
        <v>148</v>
      </c>
      <c r="AA40" t="s">
        <v>198</v>
      </c>
      <c r="AB40" t="s">
        <v>148</v>
      </c>
      <c r="AC40" t="s">
        <v>202</v>
      </c>
      <c r="AD40" t="s">
        <v>201</v>
      </c>
      <c r="AE40" t="s">
        <v>200</v>
      </c>
      <c r="AF40" t="s">
        <v>199</v>
      </c>
      <c r="AG40" t="s">
        <v>206</v>
      </c>
      <c r="AH40" s="50">
        <v>272000</v>
      </c>
      <c r="AI40" s="50">
        <v>137000</v>
      </c>
      <c r="AK40" t="s">
        <v>519</v>
      </c>
      <c r="AL40" t="s">
        <v>11</v>
      </c>
      <c r="AM40" t="s">
        <v>11</v>
      </c>
      <c r="AN40" t="s">
        <v>143</v>
      </c>
      <c r="AP40" t="s">
        <v>613</v>
      </c>
      <c r="AT40" s="50">
        <v>137000</v>
      </c>
      <c r="AU40" t="s">
        <v>142</v>
      </c>
      <c r="AV40" t="s">
        <v>83</v>
      </c>
      <c r="AY40" t="s">
        <v>614</v>
      </c>
      <c r="BA40" s="53">
        <v>164</v>
      </c>
    </row>
    <row r="41" spans="1:53">
      <c r="A41" t="s">
        <v>11</v>
      </c>
      <c r="B41" s="2">
        <v>41715</v>
      </c>
      <c r="C41" s="2">
        <v>41645</v>
      </c>
      <c r="D41" t="s">
        <v>528</v>
      </c>
      <c r="E41" t="s">
        <v>521</v>
      </c>
      <c r="F41" s="2">
        <v>41579</v>
      </c>
      <c r="G41" s="2">
        <v>41907</v>
      </c>
      <c r="H41" s="2">
        <v>41866</v>
      </c>
      <c r="I41" s="2">
        <v>41645</v>
      </c>
      <c r="J41" t="s">
        <v>112</v>
      </c>
      <c r="K41" s="2">
        <v>41725</v>
      </c>
      <c r="L41" s="1">
        <v>35</v>
      </c>
      <c r="M41" s="1">
        <v>41</v>
      </c>
      <c r="N41" t="s">
        <v>313</v>
      </c>
      <c r="P41" t="s">
        <v>681</v>
      </c>
      <c r="Q41" t="s">
        <v>4</v>
      </c>
      <c r="R41" t="s">
        <v>520</v>
      </c>
      <c r="S41" t="s">
        <v>319</v>
      </c>
      <c r="T41" t="s">
        <v>320</v>
      </c>
      <c r="U41" t="s">
        <v>529</v>
      </c>
      <c r="V41" s="1">
        <v>0</v>
      </c>
      <c r="X41" t="s">
        <v>372</v>
      </c>
      <c r="Y41" t="s">
        <v>373</v>
      </c>
      <c r="Z41" t="s">
        <v>379</v>
      </c>
      <c r="AA41" t="s">
        <v>334</v>
      </c>
      <c r="AB41" t="s">
        <v>375</v>
      </c>
      <c r="AC41" t="s">
        <v>376</v>
      </c>
      <c r="AD41" t="s">
        <v>561</v>
      </c>
      <c r="AE41" t="s">
        <v>378</v>
      </c>
      <c r="AG41" t="s">
        <v>380</v>
      </c>
      <c r="AH41" s="50">
        <v>400000</v>
      </c>
      <c r="AI41" s="50">
        <v>230000</v>
      </c>
      <c r="AK41" t="s">
        <v>519</v>
      </c>
      <c r="AM41" t="s">
        <v>11</v>
      </c>
      <c r="AN41" t="s">
        <v>143</v>
      </c>
      <c r="AP41" t="s">
        <v>613</v>
      </c>
      <c r="AQ41" s="50">
        <v>0</v>
      </c>
      <c r="AR41" s="50">
        <v>0</v>
      </c>
      <c r="AS41" s="50">
        <v>0</v>
      </c>
      <c r="AT41" s="50">
        <v>230000</v>
      </c>
      <c r="AU41" t="s">
        <v>148</v>
      </c>
      <c r="AV41" t="s">
        <v>83</v>
      </c>
      <c r="AY41" t="s">
        <v>614</v>
      </c>
      <c r="BA41" s="53">
        <v>120</v>
      </c>
    </row>
    <row r="42" spans="1:53">
      <c r="A42" t="s">
        <v>1101</v>
      </c>
      <c r="D42" t="s">
        <v>528</v>
      </c>
      <c r="E42" t="s">
        <v>521</v>
      </c>
      <c r="F42" s="2">
        <v>41579</v>
      </c>
      <c r="G42" s="2">
        <v>42209</v>
      </c>
      <c r="H42" s="2">
        <v>42209</v>
      </c>
      <c r="I42" s="2">
        <v>42044</v>
      </c>
      <c r="J42" t="s">
        <v>248</v>
      </c>
      <c r="K42" s="2">
        <v>42025</v>
      </c>
      <c r="L42" s="1">
        <v>36</v>
      </c>
      <c r="N42" t="s">
        <v>160</v>
      </c>
      <c r="P42" t="s">
        <v>682</v>
      </c>
      <c r="Q42" t="s">
        <v>4</v>
      </c>
      <c r="R42" t="s">
        <v>520</v>
      </c>
      <c r="S42" t="s">
        <v>1102</v>
      </c>
      <c r="U42" t="s">
        <v>522</v>
      </c>
      <c r="V42" s="1">
        <v>0</v>
      </c>
      <c r="X42" t="s">
        <v>440</v>
      </c>
      <c r="Y42" t="s">
        <v>441</v>
      </c>
      <c r="Z42" t="s">
        <v>442</v>
      </c>
      <c r="AA42" t="s">
        <v>448</v>
      </c>
      <c r="AB42" t="s">
        <v>361</v>
      </c>
      <c r="AC42" t="s">
        <v>444</v>
      </c>
      <c r="AD42" t="s">
        <v>445</v>
      </c>
      <c r="AE42" t="s">
        <v>446</v>
      </c>
      <c r="AF42" t="s">
        <v>447</v>
      </c>
      <c r="AG42" t="s">
        <v>443</v>
      </c>
      <c r="AH42" s="50">
        <v>500000</v>
      </c>
      <c r="AI42" s="50">
        <v>370000</v>
      </c>
      <c r="AK42" t="s">
        <v>519</v>
      </c>
      <c r="AM42" t="s">
        <v>11</v>
      </c>
      <c r="AN42" t="s">
        <v>143</v>
      </c>
      <c r="AO42" t="s">
        <v>683</v>
      </c>
      <c r="AP42" t="s">
        <v>613</v>
      </c>
      <c r="AT42" s="50">
        <v>370000</v>
      </c>
      <c r="AU42" t="s">
        <v>186</v>
      </c>
      <c r="AV42" t="s">
        <v>82</v>
      </c>
      <c r="AW42" t="s">
        <v>251</v>
      </c>
      <c r="AX42" t="s">
        <v>273</v>
      </c>
      <c r="AY42" t="s">
        <v>614</v>
      </c>
      <c r="AZ42" t="s">
        <v>12</v>
      </c>
      <c r="BA42" s="53">
        <v>172</v>
      </c>
    </row>
    <row r="43" spans="1:53">
      <c r="A43" t="s">
        <v>663</v>
      </c>
      <c r="B43" s="2">
        <v>41750</v>
      </c>
      <c r="C43" s="2">
        <v>41730</v>
      </c>
      <c r="D43" t="s">
        <v>112</v>
      </c>
      <c r="E43" t="s">
        <v>806</v>
      </c>
      <c r="F43" s="2">
        <v>41579</v>
      </c>
      <c r="G43" s="2">
        <v>41866</v>
      </c>
      <c r="H43" s="2">
        <v>41827</v>
      </c>
      <c r="I43" s="2">
        <v>41730</v>
      </c>
      <c r="J43" t="s">
        <v>248</v>
      </c>
      <c r="K43" s="2">
        <v>41750</v>
      </c>
      <c r="L43" s="1">
        <v>102</v>
      </c>
      <c r="M43" s="1">
        <v>89</v>
      </c>
      <c r="N43" t="s">
        <v>313</v>
      </c>
      <c r="P43" t="s">
        <v>807</v>
      </c>
      <c r="Q43" t="s">
        <v>808</v>
      </c>
      <c r="R43" t="s">
        <v>808</v>
      </c>
      <c r="S43" t="s">
        <v>809</v>
      </c>
      <c r="T43" t="s">
        <v>810</v>
      </c>
      <c r="U43" t="s">
        <v>529</v>
      </c>
      <c r="V43" s="1">
        <v>0</v>
      </c>
      <c r="X43" t="s">
        <v>811</v>
      </c>
      <c r="Y43" t="s">
        <v>333</v>
      </c>
      <c r="Z43" t="s">
        <v>334</v>
      </c>
      <c r="AA43" t="s">
        <v>340</v>
      </c>
      <c r="AB43" t="s">
        <v>336</v>
      </c>
      <c r="AC43" t="s">
        <v>333</v>
      </c>
      <c r="AD43" t="s">
        <v>337</v>
      </c>
      <c r="AE43" t="s">
        <v>338</v>
      </c>
      <c r="AF43" t="s">
        <v>339</v>
      </c>
      <c r="AG43" t="s">
        <v>335</v>
      </c>
      <c r="AH43" s="50">
        <v>200000</v>
      </c>
      <c r="AI43" s="50">
        <v>57000</v>
      </c>
      <c r="AK43" t="s">
        <v>812</v>
      </c>
      <c r="AM43" t="s">
        <v>663</v>
      </c>
      <c r="AN43" t="s">
        <v>143</v>
      </c>
      <c r="AP43" t="s">
        <v>613</v>
      </c>
      <c r="AQ43" s="50">
        <v>0</v>
      </c>
      <c r="AR43" s="50">
        <v>0</v>
      </c>
      <c r="AS43" s="50">
        <v>0</v>
      </c>
      <c r="AT43" s="50">
        <v>57000</v>
      </c>
      <c r="AU43" t="s">
        <v>148</v>
      </c>
      <c r="AV43" t="s">
        <v>83</v>
      </c>
      <c r="AY43" t="s">
        <v>614</v>
      </c>
      <c r="BA43" s="53">
        <v>160</v>
      </c>
    </row>
    <row r="44" spans="1:53">
      <c r="A44" t="s">
        <v>168</v>
      </c>
      <c r="B44" s="2">
        <v>41718</v>
      </c>
      <c r="C44" s="2">
        <v>41760</v>
      </c>
      <c r="D44" t="s">
        <v>620</v>
      </c>
      <c r="E44" t="s">
        <v>561</v>
      </c>
      <c r="F44" s="2">
        <v>41608</v>
      </c>
      <c r="G44" s="2">
        <v>41857</v>
      </c>
      <c r="H44" s="2">
        <v>41816</v>
      </c>
      <c r="I44" s="2">
        <v>41760</v>
      </c>
      <c r="J44" t="s">
        <v>112</v>
      </c>
      <c r="K44" s="2">
        <v>41718</v>
      </c>
      <c r="L44" s="1">
        <v>78</v>
      </c>
      <c r="M44" s="1">
        <v>60</v>
      </c>
      <c r="N44" t="s">
        <v>313</v>
      </c>
      <c r="P44" t="s">
        <v>366</v>
      </c>
      <c r="Q44" t="s">
        <v>622</v>
      </c>
      <c r="R44" t="s">
        <v>622</v>
      </c>
      <c r="S44" t="s">
        <v>197</v>
      </c>
      <c r="T44" t="s">
        <v>696</v>
      </c>
      <c r="U44" t="s">
        <v>570</v>
      </c>
      <c r="V44" s="1">
        <v>0</v>
      </c>
      <c r="X44" t="s">
        <v>861</v>
      </c>
      <c r="Y44" t="s">
        <v>862</v>
      </c>
      <c r="Z44" t="s">
        <v>863</v>
      </c>
      <c r="AA44" t="s">
        <v>862</v>
      </c>
      <c r="AB44" t="s">
        <v>864</v>
      </c>
      <c r="AC44" t="s">
        <v>865</v>
      </c>
      <c r="AD44" t="s">
        <v>866</v>
      </c>
      <c r="AE44" t="s">
        <v>867</v>
      </c>
      <c r="AF44" t="s">
        <v>868</v>
      </c>
      <c r="AG44" t="s">
        <v>869</v>
      </c>
      <c r="AK44" t="s">
        <v>632</v>
      </c>
      <c r="AL44" t="s">
        <v>870</v>
      </c>
      <c r="AM44" t="s">
        <v>168</v>
      </c>
      <c r="AN44" t="s">
        <v>718</v>
      </c>
      <c r="AP44" t="s">
        <v>613</v>
      </c>
      <c r="AR44" s="44">
        <v>0</v>
      </c>
      <c r="AS44" s="44">
        <v>0</v>
      </c>
      <c r="AT44" s="44">
        <v>0</v>
      </c>
      <c r="AU44" t="s">
        <v>148</v>
      </c>
      <c r="AV44" t="s">
        <v>83</v>
      </c>
      <c r="AY44" t="s">
        <v>614</v>
      </c>
      <c r="BA44" s="53">
        <v>170</v>
      </c>
    </row>
    <row r="45" spans="1:53">
      <c r="A45" t="s">
        <v>1101</v>
      </c>
      <c r="D45" t="s">
        <v>620</v>
      </c>
      <c r="E45" t="s">
        <v>561</v>
      </c>
      <c r="F45" s="2">
        <v>41647</v>
      </c>
      <c r="J45" t="s">
        <v>249</v>
      </c>
      <c r="K45" s="2">
        <v>42020</v>
      </c>
      <c r="L45" s="1">
        <v>55</v>
      </c>
      <c r="N45" t="s">
        <v>154</v>
      </c>
      <c r="P45" t="s">
        <v>743</v>
      </c>
      <c r="Q45" t="s">
        <v>720</v>
      </c>
      <c r="R45" t="s">
        <v>744</v>
      </c>
      <c r="T45" t="s">
        <v>157</v>
      </c>
      <c r="U45" t="s">
        <v>522</v>
      </c>
      <c r="V45" s="1">
        <v>0</v>
      </c>
      <c r="X45" t="s">
        <v>745</v>
      </c>
      <c r="Y45" t="s">
        <v>746</v>
      </c>
      <c r="Z45" t="s">
        <v>747</v>
      </c>
      <c r="AA45" t="s">
        <v>746</v>
      </c>
      <c r="AB45" t="s">
        <v>748</v>
      </c>
      <c r="AC45" t="s">
        <v>749</v>
      </c>
      <c r="AD45" t="s">
        <v>750</v>
      </c>
      <c r="AE45" t="s">
        <v>629</v>
      </c>
      <c r="AF45" t="s">
        <v>630</v>
      </c>
      <c r="AG45" t="s">
        <v>751</v>
      </c>
      <c r="AH45" s="50">
        <v>250000</v>
      </c>
      <c r="AI45" s="50">
        <v>140000</v>
      </c>
      <c r="AK45" t="s">
        <v>632</v>
      </c>
      <c r="AL45" t="s">
        <v>752</v>
      </c>
      <c r="AM45" t="s">
        <v>168</v>
      </c>
      <c r="AN45" t="s">
        <v>143</v>
      </c>
      <c r="AP45" t="s">
        <v>613</v>
      </c>
      <c r="AQ45" s="50">
        <v>0</v>
      </c>
      <c r="AR45" s="50">
        <v>0</v>
      </c>
      <c r="AS45" s="50">
        <v>0</v>
      </c>
      <c r="AT45" s="50">
        <v>250000</v>
      </c>
      <c r="AU45" t="s">
        <v>142</v>
      </c>
      <c r="AV45" t="s">
        <v>83</v>
      </c>
      <c r="AY45" t="s">
        <v>753</v>
      </c>
      <c r="BA45" s="53">
        <v>172</v>
      </c>
    </row>
    <row r="46" spans="1:53">
      <c r="A46" t="s">
        <v>1101</v>
      </c>
      <c r="D46" t="s">
        <v>620</v>
      </c>
      <c r="E46" t="s">
        <v>561</v>
      </c>
      <c r="F46" s="2">
        <v>41648</v>
      </c>
      <c r="J46" t="s">
        <v>532</v>
      </c>
      <c r="K46" s="2">
        <v>42020</v>
      </c>
      <c r="L46" s="1">
        <v>56</v>
      </c>
      <c r="N46" t="s">
        <v>154</v>
      </c>
      <c r="P46" t="s">
        <v>250</v>
      </c>
      <c r="Q46" t="s">
        <v>622</v>
      </c>
      <c r="R46" t="s">
        <v>622</v>
      </c>
      <c r="T46" t="s">
        <v>157</v>
      </c>
      <c r="U46" t="s">
        <v>522</v>
      </c>
      <c r="V46" s="1">
        <v>0</v>
      </c>
      <c r="X46" t="s">
        <v>754</v>
      </c>
      <c r="Y46" t="s">
        <v>755</v>
      </c>
      <c r="Z46" t="s">
        <v>626</v>
      </c>
      <c r="AA46" t="s">
        <v>755</v>
      </c>
      <c r="AB46" t="s">
        <v>756</v>
      </c>
      <c r="AC46" t="s">
        <v>757</v>
      </c>
      <c r="AD46" t="s">
        <v>575</v>
      </c>
      <c r="AE46" t="s">
        <v>629</v>
      </c>
      <c r="AF46" t="s">
        <v>630</v>
      </c>
      <c r="AG46" t="s">
        <v>751</v>
      </c>
      <c r="AH46" s="50">
        <v>300000</v>
      </c>
      <c r="AI46" s="50">
        <v>25000</v>
      </c>
      <c r="AK46" t="s">
        <v>632</v>
      </c>
      <c r="AL46" t="s">
        <v>758</v>
      </c>
      <c r="AM46" t="s">
        <v>168</v>
      </c>
      <c r="AN46" t="s">
        <v>143</v>
      </c>
      <c r="AP46" t="s">
        <v>613</v>
      </c>
      <c r="AQ46" s="50">
        <v>0</v>
      </c>
      <c r="AR46" s="50">
        <v>0</v>
      </c>
      <c r="AS46" s="50">
        <v>0</v>
      </c>
      <c r="AT46" s="50">
        <v>300000</v>
      </c>
      <c r="AU46" t="s">
        <v>142</v>
      </c>
      <c r="AV46" t="s">
        <v>83</v>
      </c>
      <c r="AY46" t="s">
        <v>614</v>
      </c>
      <c r="BA46" s="53">
        <v>177</v>
      </c>
    </row>
    <row r="47" spans="1:53">
      <c r="A47" t="s">
        <v>168</v>
      </c>
      <c r="B47" s="2">
        <v>41718</v>
      </c>
      <c r="C47" s="2">
        <v>41701</v>
      </c>
      <c r="D47" t="s">
        <v>620</v>
      </c>
      <c r="E47" t="s">
        <v>561</v>
      </c>
      <c r="F47" s="2">
        <v>41608</v>
      </c>
      <c r="G47" s="2">
        <v>41907</v>
      </c>
      <c r="H47" s="2">
        <v>41866</v>
      </c>
      <c r="I47" s="2">
        <v>41701</v>
      </c>
      <c r="J47" t="s">
        <v>112</v>
      </c>
      <c r="K47" s="2">
        <v>41718</v>
      </c>
      <c r="L47" s="1">
        <v>68</v>
      </c>
      <c r="M47" s="1">
        <v>64</v>
      </c>
      <c r="N47" t="s">
        <v>313</v>
      </c>
      <c r="P47" t="s">
        <v>759</v>
      </c>
      <c r="Q47" t="s">
        <v>720</v>
      </c>
      <c r="R47" t="s">
        <v>744</v>
      </c>
      <c r="S47" t="s">
        <v>302</v>
      </c>
      <c r="T47" t="s">
        <v>255</v>
      </c>
      <c r="U47" t="s">
        <v>522</v>
      </c>
      <c r="V47" s="1">
        <v>0</v>
      </c>
      <c r="X47" t="s">
        <v>760</v>
      </c>
      <c r="Y47" t="s">
        <v>697</v>
      </c>
      <c r="Z47" t="s">
        <v>761</v>
      </c>
      <c r="AA47" t="s">
        <v>697</v>
      </c>
      <c r="AB47" t="s">
        <v>762</v>
      </c>
      <c r="AC47" t="s">
        <v>763</v>
      </c>
      <c r="AD47" t="s">
        <v>764</v>
      </c>
      <c r="AE47" t="s">
        <v>728</v>
      </c>
      <c r="AF47" t="s">
        <v>765</v>
      </c>
      <c r="AG47" t="s">
        <v>766</v>
      </c>
      <c r="AK47" t="s">
        <v>632</v>
      </c>
      <c r="AL47" t="s">
        <v>767</v>
      </c>
      <c r="AM47" t="s">
        <v>168</v>
      </c>
      <c r="AN47" t="s">
        <v>143</v>
      </c>
      <c r="AP47" t="s">
        <v>613</v>
      </c>
      <c r="AR47" s="50">
        <v>0</v>
      </c>
      <c r="AS47" s="50">
        <v>0</v>
      </c>
      <c r="AT47" s="50">
        <v>0</v>
      </c>
      <c r="AU47" t="s">
        <v>148</v>
      </c>
      <c r="AV47" t="s">
        <v>83</v>
      </c>
      <c r="AY47" t="s">
        <v>614</v>
      </c>
      <c r="BA47" s="53">
        <v>147</v>
      </c>
    </row>
    <row r="48" spans="1:53">
      <c r="A48" t="s">
        <v>663</v>
      </c>
      <c r="B48" s="2">
        <v>41752</v>
      </c>
      <c r="C48" s="2">
        <v>41743</v>
      </c>
      <c r="D48" t="s">
        <v>112</v>
      </c>
      <c r="E48" t="s">
        <v>848</v>
      </c>
      <c r="F48" s="2">
        <v>41579</v>
      </c>
      <c r="G48" s="2">
        <v>41893</v>
      </c>
      <c r="H48" s="2">
        <v>41852</v>
      </c>
      <c r="I48" s="2">
        <v>41781</v>
      </c>
      <c r="J48" t="s">
        <v>112</v>
      </c>
      <c r="K48" s="2">
        <v>41752</v>
      </c>
      <c r="L48" s="1">
        <v>105</v>
      </c>
      <c r="M48" s="1">
        <v>92</v>
      </c>
      <c r="N48" t="s">
        <v>313</v>
      </c>
      <c r="P48" t="s">
        <v>892</v>
      </c>
      <c r="Q48" t="s">
        <v>808</v>
      </c>
      <c r="R48" t="s">
        <v>808</v>
      </c>
      <c r="S48" t="s">
        <v>809</v>
      </c>
      <c r="T48" t="s">
        <v>810</v>
      </c>
      <c r="U48" t="s">
        <v>529</v>
      </c>
      <c r="V48" s="1">
        <v>0</v>
      </c>
      <c r="X48" t="s">
        <v>893</v>
      </c>
      <c r="Y48" t="s">
        <v>373</v>
      </c>
      <c r="Z48" t="s">
        <v>889</v>
      </c>
      <c r="AA48" t="s">
        <v>380</v>
      </c>
      <c r="AB48" t="s">
        <v>375</v>
      </c>
      <c r="AC48" t="s">
        <v>376</v>
      </c>
      <c r="AD48" t="s">
        <v>377</v>
      </c>
      <c r="AE48" t="s">
        <v>378</v>
      </c>
      <c r="AF48" t="s">
        <v>379</v>
      </c>
      <c r="AG48" t="s">
        <v>374</v>
      </c>
      <c r="AH48" s="50">
        <v>400000</v>
      </c>
      <c r="AI48" s="50">
        <v>230000</v>
      </c>
      <c r="AK48" t="s">
        <v>812</v>
      </c>
      <c r="AM48" t="s">
        <v>663</v>
      </c>
      <c r="AN48" t="s">
        <v>143</v>
      </c>
      <c r="AP48" t="s">
        <v>613</v>
      </c>
      <c r="AQ48" s="50">
        <v>0</v>
      </c>
      <c r="AR48" s="50">
        <v>0</v>
      </c>
      <c r="AS48" s="50">
        <v>0</v>
      </c>
      <c r="AT48" s="50">
        <v>230000</v>
      </c>
      <c r="AU48" t="s">
        <v>148</v>
      </c>
      <c r="AV48" t="s">
        <v>83</v>
      </c>
      <c r="AY48" t="s">
        <v>614</v>
      </c>
      <c r="BA48" s="53">
        <v>168</v>
      </c>
    </row>
    <row r="49" spans="1:53">
      <c r="A49" t="s">
        <v>1101</v>
      </c>
      <c r="D49" t="s">
        <v>112</v>
      </c>
      <c r="E49" t="s">
        <v>859</v>
      </c>
      <c r="F49" s="2">
        <v>41579</v>
      </c>
      <c r="G49" s="2">
        <v>42143</v>
      </c>
      <c r="H49" s="2">
        <v>42102</v>
      </c>
      <c r="I49" s="2">
        <v>41773</v>
      </c>
      <c r="J49" t="s">
        <v>249</v>
      </c>
      <c r="K49" s="2">
        <v>41760</v>
      </c>
      <c r="L49" s="1">
        <v>108</v>
      </c>
      <c r="N49" t="s">
        <v>160</v>
      </c>
      <c r="P49" t="s">
        <v>987</v>
      </c>
      <c r="Q49" t="s">
        <v>850</v>
      </c>
      <c r="R49" t="s">
        <v>850</v>
      </c>
      <c r="S49" t="s">
        <v>851</v>
      </c>
      <c r="T49" t="s">
        <v>852</v>
      </c>
      <c r="U49" t="s">
        <v>529</v>
      </c>
      <c r="V49" s="1">
        <v>0</v>
      </c>
      <c r="X49" t="s">
        <v>988</v>
      </c>
      <c r="Y49" t="s">
        <v>450</v>
      </c>
      <c r="Z49" t="s">
        <v>451</v>
      </c>
      <c r="AA49" t="s">
        <v>455</v>
      </c>
      <c r="AB49" t="s">
        <v>361</v>
      </c>
      <c r="AC49" t="s">
        <v>450</v>
      </c>
      <c r="AD49" t="s">
        <v>148</v>
      </c>
      <c r="AE49" t="s">
        <v>453</v>
      </c>
      <c r="AF49" t="s">
        <v>454</v>
      </c>
      <c r="AG49" t="s">
        <v>452</v>
      </c>
      <c r="AH49" s="50">
        <v>300000</v>
      </c>
      <c r="AI49" s="50">
        <v>125000</v>
      </c>
      <c r="AK49" t="s">
        <v>812</v>
      </c>
      <c r="AL49" t="s">
        <v>663</v>
      </c>
      <c r="AM49" t="s">
        <v>663</v>
      </c>
      <c r="AN49" t="s">
        <v>143</v>
      </c>
      <c r="AP49" t="s">
        <v>613</v>
      </c>
      <c r="AQ49" s="50">
        <v>0</v>
      </c>
      <c r="AR49" s="50">
        <v>0</v>
      </c>
      <c r="AS49" s="50">
        <v>0</v>
      </c>
      <c r="AT49" s="50">
        <v>125000</v>
      </c>
      <c r="AU49" t="s">
        <v>186</v>
      </c>
      <c r="AV49" t="s">
        <v>82</v>
      </c>
      <c r="AY49" t="s">
        <v>614</v>
      </c>
      <c r="BA49" s="53">
        <v>178</v>
      </c>
    </row>
    <row r="50" spans="1:53">
      <c r="A50" t="s">
        <v>663</v>
      </c>
      <c r="B50" s="2">
        <v>41758</v>
      </c>
      <c r="C50" s="2">
        <v>41739</v>
      </c>
      <c r="D50" t="s">
        <v>112</v>
      </c>
      <c r="E50" t="s">
        <v>806</v>
      </c>
      <c r="F50" s="2">
        <v>41579</v>
      </c>
      <c r="G50" s="2">
        <v>41947</v>
      </c>
      <c r="H50" s="2">
        <v>41906</v>
      </c>
      <c r="I50" s="2">
        <v>41800</v>
      </c>
      <c r="J50" t="s">
        <v>561</v>
      </c>
      <c r="K50" s="2">
        <v>41758</v>
      </c>
      <c r="L50" s="1">
        <v>110</v>
      </c>
      <c r="M50" s="1">
        <v>99</v>
      </c>
      <c r="N50" t="s">
        <v>313</v>
      </c>
      <c r="P50" t="s">
        <v>894</v>
      </c>
      <c r="Q50" t="s">
        <v>895</v>
      </c>
      <c r="R50" t="s">
        <v>895</v>
      </c>
      <c r="S50" t="s">
        <v>896</v>
      </c>
      <c r="T50" t="s">
        <v>897</v>
      </c>
      <c r="U50" t="s">
        <v>529</v>
      </c>
      <c r="V50" s="1">
        <v>0</v>
      </c>
      <c r="X50" t="s">
        <v>898</v>
      </c>
      <c r="Y50" t="s">
        <v>458</v>
      </c>
      <c r="Z50" t="s">
        <v>459</v>
      </c>
      <c r="AA50" t="s">
        <v>144</v>
      </c>
      <c r="AB50" t="s">
        <v>461</v>
      </c>
      <c r="AC50" t="s">
        <v>462</v>
      </c>
      <c r="AD50" t="s">
        <v>148</v>
      </c>
      <c r="AE50" t="s">
        <v>463</v>
      </c>
      <c r="AF50" t="s">
        <v>464</v>
      </c>
      <c r="AG50" t="s">
        <v>460</v>
      </c>
      <c r="AH50" s="50">
        <v>570000</v>
      </c>
      <c r="AI50" s="50">
        <v>230000</v>
      </c>
      <c r="AK50" t="s">
        <v>812</v>
      </c>
      <c r="AL50" t="s">
        <v>663</v>
      </c>
      <c r="AM50" t="s">
        <v>663</v>
      </c>
      <c r="AN50" t="s">
        <v>143</v>
      </c>
      <c r="AP50" t="s">
        <v>613</v>
      </c>
      <c r="AQ50" s="50">
        <v>0</v>
      </c>
      <c r="AR50" s="50">
        <v>0</v>
      </c>
      <c r="AS50" s="50">
        <v>0</v>
      </c>
      <c r="AT50" s="50">
        <v>230000</v>
      </c>
      <c r="AU50" t="s">
        <v>148</v>
      </c>
      <c r="AV50" t="s">
        <v>83</v>
      </c>
      <c r="AY50" t="s">
        <v>614</v>
      </c>
      <c r="BA50" s="53">
        <v>191</v>
      </c>
    </row>
    <row r="51" spans="1:53">
      <c r="A51" t="s">
        <v>1101</v>
      </c>
      <c r="D51" t="s">
        <v>112</v>
      </c>
      <c r="E51" t="s">
        <v>521</v>
      </c>
      <c r="F51" s="2">
        <v>41579</v>
      </c>
      <c r="G51" s="2">
        <v>42342</v>
      </c>
      <c r="H51" s="2">
        <v>42303</v>
      </c>
      <c r="I51" s="2">
        <v>42136</v>
      </c>
      <c r="J51" t="s">
        <v>112</v>
      </c>
      <c r="K51" s="2">
        <v>42013</v>
      </c>
      <c r="L51" s="1">
        <v>27</v>
      </c>
      <c r="N51" t="s">
        <v>154</v>
      </c>
      <c r="P51" t="s">
        <v>167</v>
      </c>
      <c r="Q51" t="s">
        <v>4</v>
      </c>
      <c r="R51" t="s">
        <v>520</v>
      </c>
      <c r="S51" t="s">
        <v>1102</v>
      </c>
      <c r="U51" t="s">
        <v>570</v>
      </c>
      <c r="V51" s="1">
        <v>0</v>
      </c>
      <c r="X51" t="s">
        <v>166</v>
      </c>
      <c r="Y51" t="s">
        <v>163</v>
      </c>
      <c r="Z51" t="s">
        <v>165</v>
      </c>
      <c r="AB51" t="s">
        <v>148</v>
      </c>
      <c r="AC51" t="s">
        <v>163</v>
      </c>
      <c r="AD51" t="s">
        <v>162</v>
      </c>
      <c r="AE51" t="s">
        <v>161</v>
      </c>
      <c r="AF51" t="s">
        <v>148</v>
      </c>
      <c r="AG51" t="s">
        <v>164</v>
      </c>
      <c r="AH51" s="50">
        <v>130000</v>
      </c>
      <c r="AI51" s="50">
        <v>43000</v>
      </c>
      <c r="AK51" t="s">
        <v>519</v>
      </c>
      <c r="AL51" t="s">
        <v>11</v>
      </c>
      <c r="AM51" t="s">
        <v>11</v>
      </c>
      <c r="AN51" t="s">
        <v>143</v>
      </c>
      <c r="AP51" t="s">
        <v>613</v>
      </c>
      <c r="AQ51" s="50">
        <v>0</v>
      </c>
      <c r="AR51" s="50">
        <v>0</v>
      </c>
      <c r="AS51" s="50">
        <v>0</v>
      </c>
      <c r="AT51" s="50">
        <v>43000</v>
      </c>
      <c r="AU51" t="s">
        <v>142</v>
      </c>
      <c r="AV51" t="s">
        <v>83</v>
      </c>
      <c r="AW51" t="s">
        <v>223</v>
      </c>
      <c r="AX51" t="s">
        <v>188</v>
      </c>
      <c r="AY51" t="s">
        <v>614</v>
      </c>
      <c r="BA51" s="53">
        <v>174</v>
      </c>
    </row>
    <row r="52" spans="1:53">
      <c r="A52" t="s">
        <v>168</v>
      </c>
      <c r="B52" s="2">
        <v>41718</v>
      </c>
      <c r="C52" s="2">
        <v>41792</v>
      </c>
      <c r="D52" t="s">
        <v>620</v>
      </c>
      <c r="E52" t="s">
        <v>561</v>
      </c>
      <c r="F52" s="2">
        <v>41608</v>
      </c>
      <c r="G52" s="2">
        <v>41998</v>
      </c>
      <c r="H52" s="2">
        <v>41957</v>
      </c>
      <c r="I52" s="2">
        <v>41792</v>
      </c>
      <c r="J52" t="s">
        <v>112</v>
      </c>
      <c r="K52" s="2">
        <v>41718</v>
      </c>
      <c r="L52" s="1">
        <v>65</v>
      </c>
      <c r="M52" s="1">
        <v>71</v>
      </c>
      <c r="N52" t="s">
        <v>313</v>
      </c>
      <c r="P52" t="s">
        <v>719</v>
      </c>
      <c r="Q52" t="s">
        <v>720</v>
      </c>
      <c r="R52" t="s">
        <v>158</v>
      </c>
      <c r="S52" t="s">
        <v>721</v>
      </c>
      <c r="T52" t="s">
        <v>721</v>
      </c>
      <c r="U52" t="s">
        <v>562</v>
      </c>
      <c r="V52" s="1">
        <v>0</v>
      </c>
      <c r="X52" t="s">
        <v>722</v>
      </c>
      <c r="Y52" t="s">
        <v>723</v>
      </c>
      <c r="Z52" t="s">
        <v>724</v>
      </c>
      <c r="AA52" t="s">
        <v>723</v>
      </c>
      <c r="AB52" t="s">
        <v>725</v>
      </c>
      <c r="AC52" t="s">
        <v>726</v>
      </c>
      <c r="AD52" t="s">
        <v>727</v>
      </c>
      <c r="AE52" t="s">
        <v>728</v>
      </c>
      <c r="AF52" t="s">
        <v>729</v>
      </c>
      <c r="AG52" t="s">
        <v>730</v>
      </c>
      <c r="AK52" t="s">
        <v>632</v>
      </c>
      <c r="AL52" t="s">
        <v>731</v>
      </c>
      <c r="AM52" t="s">
        <v>168</v>
      </c>
      <c r="AN52" t="s">
        <v>732</v>
      </c>
      <c r="AP52" t="s">
        <v>613</v>
      </c>
      <c r="AR52" s="45">
        <v>0</v>
      </c>
      <c r="AS52" s="45">
        <v>0</v>
      </c>
      <c r="AT52" s="45">
        <v>0</v>
      </c>
      <c r="AU52" t="s">
        <v>148</v>
      </c>
      <c r="AV52" t="s">
        <v>83</v>
      </c>
      <c r="AY52" t="s">
        <v>614</v>
      </c>
      <c r="BA52" s="53">
        <v>198</v>
      </c>
    </row>
    <row r="53" spans="1:53">
      <c r="A53" t="s">
        <v>1101</v>
      </c>
      <c r="D53" t="s">
        <v>620</v>
      </c>
      <c r="E53" t="s">
        <v>561</v>
      </c>
      <c r="F53" s="2">
        <v>41516</v>
      </c>
      <c r="G53" s="2">
        <v>42250</v>
      </c>
      <c r="H53" s="2">
        <v>42209</v>
      </c>
      <c r="I53" s="2">
        <v>42044</v>
      </c>
      <c r="J53" t="s">
        <v>532</v>
      </c>
      <c r="K53" s="2">
        <v>42020</v>
      </c>
      <c r="L53" s="1">
        <v>50</v>
      </c>
      <c r="N53" t="s">
        <v>154</v>
      </c>
      <c r="P53" t="s">
        <v>836</v>
      </c>
      <c r="Q53" t="s">
        <v>720</v>
      </c>
      <c r="R53" t="s">
        <v>744</v>
      </c>
      <c r="T53" t="s">
        <v>157</v>
      </c>
      <c r="U53" t="s">
        <v>529</v>
      </c>
      <c r="V53" s="1">
        <v>0</v>
      </c>
      <c r="X53" t="s">
        <v>837</v>
      </c>
      <c r="Y53" t="s">
        <v>838</v>
      </c>
      <c r="Z53" t="s">
        <v>839</v>
      </c>
      <c r="AA53" t="s">
        <v>838</v>
      </c>
      <c r="AB53" t="s">
        <v>840</v>
      </c>
      <c r="AC53" t="s">
        <v>841</v>
      </c>
      <c r="AD53" t="s">
        <v>750</v>
      </c>
      <c r="AE53" t="s">
        <v>629</v>
      </c>
      <c r="AF53" t="s">
        <v>698</v>
      </c>
      <c r="AG53" t="s">
        <v>800</v>
      </c>
      <c r="AH53" s="50">
        <v>980000</v>
      </c>
      <c r="AI53" s="50">
        <v>400000</v>
      </c>
      <c r="AK53" t="s">
        <v>632</v>
      </c>
      <c r="AL53" t="s">
        <v>706</v>
      </c>
      <c r="AM53" t="s">
        <v>168</v>
      </c>
      <c r="AN53" t="s">
        <v>143</v>
      </c>
      <c r="AP53" t="s">
        <v>613</v>
      </c>
      <c r="AQ53" s="50">
        <v>0</v>
      </c>
      <c r="AR53" s="50">
        <v>0</v>
      </c>
      <c r="AS53" s="50">
        <v>0</v>
      </c>
      <c r="AT53" s="50">
        <v>980000</v>
      </c>
      <c r="AU53" t="s">
        <v>142</v>
      </c>
      <c r="AV53" t="s">
        <v>82</v>
      </c>
      <c r="AY53" t="s">
        <v>614</v>
      </c>
      <c r="BA53" s="53">
        <v>191</v>
      </c>
    </row>
    <row r="54" spans="1:53">
      <c r="A54" t="s">
        <v>1101</v>
      </c>
      <c r="F54" s="2">
        <v>41650</v>
      </c>
      <c r="K54" s="2">
        <v>42020</v>
      </c>
      <c r="L54" s="1">
        <v>58</v>
      </c>
      <c r="N54" t="s">
        <v>154</v>
      </c>
      <c r="P54" t="s">
        <v>259</v>
      </c>
      <c r="Q54" t="s">
        <v>622</v>
      </c>
      <c r="R54" t="s">
        <v>794</v>
      </c>
      <c r="S54" t="s">
        <v>197</v>
      </c>
      <c r="T54" t="s">
        <v>696</v>
      </c>
      <c r="V54" s="1">
        <v>0</v>
      </c>
      <c r="AK54" t="s">
        <v>632</v>
      </c>
      <c r="AL54" t="s">
        <v>168</v>
      </c>
      <c r="AM54" t="s">
        <v>168</v>
      </c>
      <c r="AN54" t="s">
        <v>143</v>
      </c>
      <c r="AP54" t="s">
        <v>613</v>
      </c>
      <c r="AR54" s="50">
        <v>0</v>
      </c>
      <c r="AS54" s="50">
        <v>0</v>
      </c>
      <c r="AT54" s="50">
        <v>0</v>
      </c>
      <c r="AU54" t="s">
        <v>142</v>
      </c>
      <c r="AV54" t="s">
        <v>83</v>
      </c>
      <c r="AY54" t="s">
        <v>614</v>
      </c>
      <c r="BA54" s="53">
        <v>107</v>
      </c>
    </row>
    <row r="55" spans="1:53">
      <c r="A55" t="s">
        <v>1101</v>
      </c>
      <c r="D55" t="s">
        <v>620</v>
      </c>
      <c r="E55" t="s">
        <v>561</v>
      </c>
      <c r="F55" s="2">
        <v>41654</v>
      </c>
      <c r="G55" s="2">
        <v>42229</v>
      </c>
      <c r="H55" s="2">
        <v>42188</v>
      </c>
      <c r="I55" s="2">
        <v>42023</v>
      </c>
      <c r="J55" t="s">
        <v>561</v>
      </c>
      <c r="K55" s="2">
        <v>42020</v>
      </c>
      <c r="L55" s="1">
        <v>49</v>
      </c>
      <c r="N55" t="s">
        <v>160</v>
      </c>
      <c r="P55" t="s">
        <v>253</v>
      </c>
      <c r="Q55" t="s">
        <v>720</v>
      </c>
      <c r="R55" t="s">
        <v>744</v>
      </c>
      <c r="T55" t="s">
        <v>157</v>
      </c>
      <c r="U55" t="s">
        <v>529</v>
      </c>
      <c r="V55" s="1">
        <v>0</v>
      </c>
      <c r="X55" t="s">
        <v>795</v>
      </c>
      <c r="Y55" t="s">
        <v>796</v>
      </c>
      <c r="Z55" t="s">
        <v>797</v>
      </c>
      <c r="AA55" t="s">
        <v>796</v>
      </c>
      <c r="AB55" t="s">
        <v>798</v>
      </c>
      <c r="AC55" t="s">
        <v>799</v>
      </c>
      <c r="AD55" t="s">
        <v>750</v>
      </c>
      <c r="AE55" t="s">
        <v>629</v>
      </c>
      <c r="AF55" t="s">
        <v>698</v>
      </c>
      <c r="AG55" t="s">
        <v>800</v>
      </c>
      <c r="AH55" s="50">
        <v>270000</v>
      </c>
      <c r="AI55" s="50">
        <v>72000</v>
      </c>
      <c r="AK55" t="s">
        <v>632</v>
      </c>
      <c r="AL55" t="s">
        <v>295</v>
      </c>
      <c r="AM55" t="s">
        <v>168</v>
      </c>
      <c r="AN55" t="s">
        <v>143</v>
      </c>
      <c r="AP55" t="s">
        <v>613</v>
      </c>
      <c r="AQ55" s="50">
        <v>0</v>
      </c>
      <c r="AR55" s="50">
        <v>0</v>
      </c>
      <c r="AS55" s="50">
        <v>0</v>
      </c>
      <c r="AT55" s="50">
        <v>270000</v>
      </c>
      <c r="AU55" t="s">
        <v>186</v>
      </c>
      <c r="AV55" t="s">
        <v>82</v>
      </c>
      <c r="AY55" t="s">
        <v>614</v>
      </c>
      <c r="BA55" s="53">
        <v>166</v>
      </c>
    </row>
    <row r="56" spans="1:53">
      <c r="A56" t="s">
        <v>1101</v>
      </c>
      <c r="D56" t="s">
        <v>620</v>
      </c>
      <c r="E56" t="s">
        <v>561</v>
      </c>
      <c r="F56" s="2">
        <v>41698</v>
      </c>
      <c r="G56" s="2">
        <v>42236</v>
      </c>
      <c r="H56" s="2">
        <v>42195</v>
      </c>
      <c r="I56" s="2">
        <v>42030</v>
      </c>
      <c r="J56" t="s">
        <v>561</v>
      </c>
      <c r="K56" s="2">
        <v>42020</v>
      </c>
      <c r="L56" s="1">
        <v>48</v>
      </c>
      <c r="N56" t="s">
        <v>160</v>
      </c>
      <c r="P56" t="s">
        <v>780</v>
      </c>
      <c r="Q56" t="s">
        <v>720</v>
      </c>
      <c r="R56" t="s">
        <v>744</v>
      </c>
      <c r="S56" t="s">
        <v>260</v>
      </c>
      <c r="T56" t="s">
        <v>696</v>
      </c>
      <c r="U56" t="s">
        <v>529</v>
      </c>
      <c r="V56" s="1">
        <v>0</v>
      </c>
      <c r="X56" t="s">
        <v>781</v>
      </c>
      <c r="Y56" t="s">
        <v>782</v>
      </c>
      <c r="Z56" t="s">
        <v>783</v>
      </c>
      <c r="AB56" t="s">
        <v>784</v>
      </c>
      <c r="AC56" t="s">
        <v>785</v>
      </c>
      <c r="AD56" t="s">
        <v>628</v>
      </c>
      <c r="AE56" t="s">
        <v>786</v>
      </c>
      <c r="AF56" t="s">
        <v>787</v>
      </c>
      <c r="AH56" s="50">
        <v>130000</v>
      </c>
      <c r="AI56" s="50">
        <v>35000</v>
      </c>
      <c r="AK56" t="s">
        <v>632</v>
      </c>
      <c r="AL56" t="s">
        <v>731</v>
      </c>
      <c r="AM56" t="s">
        <v>168</v>
      </c>
      <c r="AN56" t="s">
        <v>143</v>
      </c>
      <c r="AP56" t="s">
        <v>613</v>
      </c>
      <c r="AQ56" s="50">
        <v>0</v>
      </c>
      <c r="AT56" s="50">
        <v>130000</v>
      </c>
      <c r="AU56" t="s">
        <v>186</v>
      </c>
      <c r="AV56" t="s">
        <v>82</v>
      </c>
      <c r="AY56" t="s">
        <v>614</v>
      </c>
      <c r="BA56" s="53">
        <v>152</v>
      </c>
    </row>
    <row r="57" spans="1:53">
      <c r="A57" t="s">
        <v>1101</v>
      </c>
      <c r="D57" t="s">
        <v>112</v>
      </c>
      <c r="E57" t="s">
        <v>521</v>
      </c>
      <c r="F57" s="2">
        <v>41579</v>
      </c>
      <c r="J57" t="s">
        <v>249</v>
      </c>
      <c r="K57" s="2">
        <v>41773</v>
      </c>
      <c r="L57" s="1">
        <v>25</v>
      </c>
      <c r="N57" t="s">
        <v>154</v>
      </c>
      <c r="P57" t="s">
        <v>264</v>
      </c>
      <c r="Q57" t="s">
        <v>4</v>
      </c>
      <c r="R57" t="s">
        <v>520</v>
      </c>
      <c r="S57" t="s">
        <v>319</v>
      </c>
      <c r="T57" t="s">
        <v>320</v>
      </c>
      <c r="U57" t="s">
        <v>570</v>
      </c>
      <c r="V57" s="1">
        <v>0</v>
      </c>
      <c r="X57" t="s">
        <v>265</v>
      </c>
      <c r="Y57" t="s">
        <v>266</v>
      </c>
      <c r="Z57" t="s">
        <v>267</v>
      </c>
      <c r="AA57" t="s">
        <v>271</v>
      </c>
      <c r="AB57" t="s">
        <v>148</v>
      </c>
      <c r="AC57" t="s">
        <v>266</v>
      </c>
      <c r="AD57" t="s">
        <v>249</v>
      </c>
      <c r="AE57" t="s">
        <v>269</v>
      </c>
      <c r="AF57" t="s">
        <v>270</v>
      </c>
      <c r="AG57" t="s">
        <v>268</v>
      </c>
      <c r="AH57" s="50">
        <v>300000</v>
      </c>
      <c r="AI57" s="50">
        <v>235000</v>
      </c>
      <c r="AK57" t="s">
        <v>519</v>
      </c>
      <c r="AL57" t="s">
        <v>11</v>
      </c>
      <c r="AM57" t="s">
        <v>11</v>
      </c>
      <c r="AN57" t="s">
        <v>143</v>
      </c>
      <c r="AP57" t="s">
        <v>613</v>
      </c>
      <c r="AQ57" s="50">
        <v>0</v>
      </c>
      <c r="AR57" s="50">
        <v>0</v>
      </c>
      <c r="AS57" s="50">
        <v>0</v>
      </c>
      <c r="AT57" s="50">
        <v>235000</v>
      </c>
      <c r="AU57" t="s">
        <v>142</v>
      </c>
      <c r="AV57" t="s">
        <v>83</v>
      </c>
      <c r="AW57" t="s">
        <v>112</v>
      </c>
      <c r="AX57" t="s">
        <v>545</v>
      </c>
      <c r="AY57" t="s">
        <v>614</v>
      </c>
      <c r="BA57" s="53">
        <v>127</v>
      </c>
    </row>
    <row r="58" spans="1:53">
      <c r="F58" s="2">
        <v>41940</v>
      </c>
      <c r="G58" s="2">
        <v>41971</v>
      </c>
      <c r="H58" s="2">
        <v>41971</v>
      </c>
      <c r="K58" s="2">
        <v>41940</v>
      </c>
      <c r="L58" s="1">
        <v>191</v>
      </c>
      <c r="N58" t="s">
        <v>1104</v>
      </c>
      <c r="P58" t="s">
        <v>1105</v>
      </c>
      <c r="T58" t="s">
        <v>658</v>
      </c>
      <c r="V58" s="1">
        <v>0</v>
      </c>
      <c r="AK58" t="s">
        <v>519</v>
      </c>
      <c r="AN58" t="s">
        <v>143</v>
      </c>
      <c r="AP58" t="s">
        <v>613</v>
      </c>
      <c r="AT58" s="50">
        <v>0</v>
      </c>
      <c r="AU58" t="s">
        <v>148</v>
      </c>
      <c r="AV58" t="s">
        <v>83</v>
      </c>
      <c r="AY58" t="s">
        <v>614</v>
      </c>
      <c r="BA58" s="53">
        <v>130</v>
      </c>
    </row>
    <row r="59" spans="1:53">
      <c r="A59" t="s">
        <v>1101</v>
      </c>
      <c r="D59" t="s">
        <v>620</v>
      </c>
      <c r="E59" t="s">
        <v>561</v>
      </c>
      <c r="F59" s="2">
        <v>41685</v>
      </c>
      <c r="J59" t="s">
        <v>112</v>
      </c>
      <c r="K59" s="2">
        <v>42020</v>
      </c>
      <c r="L59" s="1">
        <v>46</v>
      </c>
      <c r="N59" t="s">
        <v>154</v>
      </c>
      <c r="P59" t="s">
        <v>293</v>
      </c>
      <c r="Q59" t="s">
        <v>622</v>
      </c>
      <c r="R59" t="s">
        <v>622</v>
      </c>
      <c r="T59" t="s">
        <v>157</v>
      </c>
      <c r="U59" t="s">
        <v>522</v>
      </c>
      <c r="V59" s="1">
        <v>0</v>
      </c>
      <c r="X59" t="s">
        <v>768</v>
      </c>
      <c r="Y59" t="s">
        <v>769</v>
      </c>
      <c r="Z59" t="s">
        <v>770</v>
      </c>
      <c r="AA59" t="s">
        <v>769</v>
      </c>
      <c r="AB59" t="s">
        <v>771</v>
      </c>
      <c r="AC59" t="s">
        <v>772</v>
      </c>
      <c r="AD59" t="s">
        <v>575</v>
      </c>
      <c r="AE59" t="s">
        <v>773</v>
      </c>
      <c r="AF59" t="s">
        <v>630</v>
      </c>
      <c r="AG59" t="s">
        <v>699</v>
      </c>
      <c r="AH59" s="50">
        <v>823000</v>
      </c>
      <c r="AI59" s="50">
        <v>123000</v>
      </c>
      <c r="AK59" t="s">
        <v>632</v>
      </c>
      <c r="AL59" t="s">
        <v>774</v>
      </c>
      <c r="AM59" t="s">
        <v>168</v>
      </c>
      <c r="AN59" t="s">
        <v>143</v>
      </c>
      <c r="AP59" t="s">
        <v>613</v>
      </c>
      <c r="AQ59" s="50">
        <v>0</v>
      </c>
      <c r="AR59" s="50">
        <v>0</v>
      </c>
      <c r="AS59" s="50">
        <v>0</v>
      </c>
      <c r="AT59" s="50">
        <v>823000</v>
      </c>
      <c r="AU59" t="s">
        <v>142</v>
      </c>
      <c r="AV59" t="s">
        <v>83</v>
      </c>
      <c r="AY59" t="s">
        <v>614</v>
      </c>
      <c r="BA59" s="53">
        <v>131</v>
      </c>
    </row>
    <row r="60" spans="1:53">
      <c r="A60" t="s">
        <v>1101</v>
      </c>
      <c r="F60" s="2">
        <v>41646</v>
      </c>
      <c r="G60" s="2">
        <v>42247</v>
      </c>
      <c r="H60" s="2">
        <v>42206</v>
      </c>
      <c r="I60" s="2">
        <v>42053</v>
      </c>
      <c r="K60" s="2">
        <v>42020</v>
      </c>
      <c r="L60" s="1">
        <v>54</v>
      </c>
      <c r="N60" t="s">
        <v>154</v>
      </c>
      <c r="P60" t="s">
        <v>819</v>
      </c>
      <c r="Q60" t="s">
        <v>695</v>
      </c>
      <c r="R60" t="s">
        <v>256</v>
      </c>
      <c r="T60" t="s">
        <v>820</v>
      </c>
      <c r="V60" s="1">
        <v>0</v>
      </c>
      <c r="X60" t="s">
        <v>821</v>
      </c>
      <c r="Y60" t="s">
        <v>822</v>
      </c>
      <c r="Z60" t="s">
        <v>823</v>
      </c>
      <c r="AA60" t="s">
        <v>822</v>
      </c>
      <c r="AB60" t="s">
        <v>824</v>
      </c>
      <c r="AC60" t="s">
        <v>825</v>
      </c>
      <c r="AD60" t="s">
        <v>628</v>
      </c>
      <c r="AE60" t="s">
        <v>629</v>
      </c>
      <c r="AF60" t="s">
        <v>698</v>
      </c>
      <c r="AG60" t="s">
        <v>826</v>
      </c>
      <c r="AH60" s="50">
        <v>50000</v>
      </c>
      <c r="AI60" s="50">
        <v>67000</v>
      </c>
      <c r="AK60" t="s">
        <v>632</v>
      </c>
      <c r="AL60" t="s">
        <v>827</v>
      </c>
      <c r="AM60" t="s">
        <v>168</v>
      </c>
      <c r="AN60" t="s">
        <v>143</v>
      </c>
      <c r="AP60" t="s">
        <v>613</v>
      </c>
      <c r="AQ60" s="50">
        <v>0</v>
      </c>
      <c r="AR60" s="50">
        <v>0</v>
      </c>
      <c r="AS60" s="50">
        <v>0</v>
      </c>
      <c r="AT60" s="50">
        <v>50000</v>
      </c>
      <c r="AU60" t="s">
        <v>142</v>
      </c>
      <c r="AV60" t="s">
        <v>82</v>
      </c>
      <c r="AY60" t="s">
        <v>614</v>
      </c>
      <c r="BA60" s="53">
        <v>190</v>
      </c>
    </row>
    <row r="61" spans="1:53">
      <c r="A61" t="s">
        <v>168</v>
      </c>
      <c r="B61" s="2">
        <v>41718</v>
      </c>
      <c r="C61" s="2">
        <v>41701</v>
      </c>
      <c r="D61" t="s">
        <v>620</v>
      </c>
      <c r="E61" t="s">
        <v>561</v>
      </c>
      <c r="F61" s="2">
        <v>41608</v>
      </c>
      <c r="G61" s="2">
        <v>41893</v>
      </c>
      <c r="H61" s="2">
        <v>41852</v>
      </c>
      <c r="I61" s="2">
        <v>41715</v>
      </c>
      <c r="J61" t="s">
        <v>532</v>
      </c>
      <c r="K61" s="2">
        <v>41718</v>
      </c>
      <c r="L61" s="1">
        <v>70</v>
      </c>
      <c r="M61" s="1">
        <v>61</v>
      </c>
      <c r="N61" t="s">
        <v>313</v>
      </c>
      <c r="P61" t="s">
        <v>318</v>
      </c>
      <c r="Q61" t="s">
        <v>695</v>
      </c>
      <c r="R61" t="s">
        <v>256</v>
      </c>
      <c r="S61" t="s">
        <v>828</v>
      </c>
      <c r="T61" t="s">
        <v>157</v>
      </c>
      <c r="U61" t="s">
        <v>562</v>
      </c>
      <c r="V61" s="1">
        <v>0</v>
      </c>
      <c r="X61" t="s">
        <v>829</v>
      </c>
      <c r="Y61" t="s">
        <v>830</v>
      </c>
      <c r="Z61" t="s">
        <v>724</v>
      </c>
      <c r="AA61" t="s">
        <v>728</v>
      </c>
      <c r="AB61" t="s">
        <v>831</v>
      </c>
      <c r="AC61" t="s">
        <v>831</v>
      </c>
      <c r="AD61" t="s">
        <v>832</v>
      </c>
      <c r="AF61" t="s">
        <v>833</v>
      </c>
      <c r="AG61" t="s">
        <v>834</v>
      </c>
      <c r="AK61" t="s">
        <v>632</v>
      </c>
      <c r="AL61" t="s">
        <v>835</v>
      </c>
      <c r="AM61" t="s">
        <v>168</v>
      </c>
      <c r="AN61" t="s">
        <v>732</v>
      </c>
      <c r="AP61" t="s">
        <v>613</v>
      </c>
      <c r="AR61" s="45">
        <v>0</v>
      </c>
      <c r="AS61" s="45">
        <v>0</v>
      </c>
      <c r="AT61" s="45">
        <v>0</v>
      </c>
      <c r="AU61" t="s">
        <v>148</v>
      </c>
      <c r="AV61" t="s">
        <v>83</v>
      </c>
      <c r="AY61" t="s">
        <v>614</v>
      </c>
      <c r="BA61" s="53">
        <v>192</v>
      </c>
    </row>
    <row r="62" spans="1:53">
      <c r="A62" t="s">
        <v>11</v>
      </c>
      <c r="B62" s="2">
        <v>41715</v>
      </c>
      <c r="C62" s="2">
        <v>41687</v>
      </c>
      <c r="D62" t="s">
        <v>112</v>
      </c>
      <c r="E62" t="s">
        <v>521</v>
      </c>
      <c r="F62" s="2">
        <v>41579</v>
      </c>
      <c r="G62" s="2">
        <v>41876</v>
      </c>
      <c r="H62" s="2">
        <v>41835</v>
      </c>
      <c r="I62" s="2">
        <v>41687</v>
      </c>
      <c r="J62" t="s">
        <v>249</v>
      </c>
      <c r="K62" s="2">
        <v>41715</v>
      </c>
      <c r="L62" s="1">
        <v>37</v>
      </c>
      <c r="M62" s="1">
        <v>40</v>
      </c>
      <c r="N62" t="s">
        <v>313</v>
      </c>
      <c r="P62" t="s">
        <v>684</v>
      </c>
      <c r="Q62" t="s">
        <v>4</v>
      </c>
      <c r="R62" t="s">
        <v>538</v>
      </c>
      <c r="S62" t="s">
        <v>319</v>
      </c>
      <c r="T62" t="s">
        <v>320</v>
      </c>
      <c r="U62" t="s">
        <v>529</v>
      </c>
      <c r="V62" s="1">
        <v>0</v>
      </c>
      <c r="X62" t="s">
        <v>449</v>
      </c>
      <c r="Y62" t="s">
        <v>450</v>
      </c>
      <c r="Z62" t="s">
        <v>454</v>
      </c>
      <c r="AA62" t="s">
        <v>451</v>
      </c>
      <c r="AB62" t="s">
        <v>685</v>
      </c>
      <c r="AC62" t="s">
        <v>450</v>
      </c>
      <c r="AD62" t="s">
        <v>148</v>
      </c>
      <c r="AE62" t="s">
        <v>453</v>
      </c>
      <c r="AG62" t="s">
        <v>686</v>
      </c>
      <c r="AH62" s="50">
        <v>300000</v>
      </c>
      <c r="AI62" s="50">
        <v>125000</v>
      </c>
      <c r="AK62" t="s">
        <v>519</v>
      </c>
      <c r="AL62" t="s">
        <v>11</v>
      </c>
      <c r="AM62" t="s">
        <v>11</v>
      </c>
      <c r="AN62" t="s">
        <v>143</v>
      </c>
      <c r="AP62" t="s">
        <v>613</v>
      </c>
      <c r="AQ62" s="50">
        <v>0</v>
      </c>
      <c r="AR62" s="50">
        <v>0</v>
      </c>
      <c r="AS62" s="50">
        <v>0</v>
      </c>
      <c r="AT62" s="50">
        <v>125000</v>
      </c>
      <c r="AU62" t="s">
        <v>148</v>
      </c>
      <c r="AV62" t="s">
        <v>83</v>
      </c>
      <c r="AY62" t="s">
        <v>614</v>
      </c>
      <c r="BA62" s="53">
        <v>186</v>
      </c>
    </row>
    <row r="63" spans="1:53">
      <c r="A63" t="s">
        <v>1101</v>
      </c>
      <c r="D63" t="s">
        <v>620</v>
      </c>
      <c r="E63" t="s">
        <v>561</v>
      </c>
      <c r="F63" s="2">
        <v>41673</v>
      </c>
      <c r="G63" s="2">
        <v>42271</v>
      </c>
      <c r="H63" s="2">
        <v>42230</v>
      </c>
      <c r="I63" s="2">
        <v>42065</v>
      </c>
      <c r="J63" t="s">
        <v>112</v>
      </c>
      <c r="K63" s="2">
        <v>42020</v>
      </c>
      <c r="L63" s="1">
        <v>51</v>
      </c>
      <c r="N63" t="s">
        <v>154</v>
      </c>
      <c r="P63" t="s">
        <v>257</v>
      </c>
      <c r="Q63" t="s">
        <v>720</v>
      </c>
      <c r="R63" t="s">
        <v>744</v>
      </c>
      <c r="T63" t="s">
        <v>157</v>
      </c>
      <c r="U63" t="s">
        <v>522</v>
      </c>
      <c r="V63" s="1">
        <v>0</v>
      </c>
      <c r="X63" t="s">
        <v>842</v>
      </c>
      <c r="Y63" t="s">
        <v>843</v>
      </c>
      <c r="Z63" t="s">
        <v>844</v>
      </c>
      <c r="AA63" t="s">
        <v>843</v>
      </c>
      <c r="AB63" t="s">
        <v>845</v>
      </c>
      <c r="AC63" t="s">
        <v>846</v>
      </c>
      <c r="AD63" t="s">
        <v>628</v>
      </c>
      <c r="AE63" t="s">
        <v>629</v>
      </c>
      <c r="AF63" t="s">
        <v>630</v>
      </c>
      <c r="AG63" t="s">
        <v>847</v>
      </c>
      <c r="AH63" s="50">
        <v>750000</v>
      </c>
      <c r="AI63" s="50">
        <v>250000</v>
      </c>
      <c r="AK63" t="s">
        <v>632</v>
      </c>
      <c r="AL63" t="s">
        <v>677</v>
      </c>
      <c r="AM63" t="s">
        <v>168</v>
      </c>
      <c r="AN63" t="s">
        <v>143</v>
      </c>
      <c r="AP63" t="s">
        <v>613</v>
      </c>
      <c r="AQ63" s="50">
        <v>0</v>
      </c>
      <c r="AR63" s="50">
        <v>0</v>
      </c>
      <c r="AS63" s="50">
        <v>0</v>
      </c>
      <c r="AT63" s="50">
        <v>750000</v>
      </c>
      <c r="AU63" t="s">
        <v>142</v>
      </c>
      <c r="AV63" t="s">
        <v>82</v>
      </c>
      <c r="AY63" t="s">
        <v>614</v>
      </c>
      <c r="BA63" s="53">
        <v>176</v>
      </c>
    </row>
    <row r="64" spans="1:53">
      <c r="A64" t="s">
        <v>11</v>
      </c>
      <c r="B64" s="2">
        <v>41711</v>
      </c>
      <c r="C64" s="2">
        <v>41645</v>
      </c>
      <c r="D64" t="s">
        <v>545</v>
      </c>
      <c r="E64" t="s">
        <v>521</v>
      </c>
      <c r="F64" s="2">
        <v>41579</v>
      </c>
      <c r="G64" s="2">
        <v>41865</v>
      </c>
      <c r="H64" s="2">
        <v>41824</v>
      </c>
      <c r="I64" s="2">
        <v>41645</v>
      </c>
      <c r="J64" t="s">
        <v>112</v>
      </c>
      <c r="K64" s="2">
        <v>41711</v>
      </c>
      <c r="L64" s="1">
        <v>32</v>
      </c>
      <c r="M64" s="1">
        <v>33</v>
      </c>
      <c r="N64" t="s">
        <v>313</v>
      </c>
      <c r="P64" t="s">
        <v>700</v>
      </c>
      <c r="Q64" t="s">
        <v>4</v>
      </c>
      <c r="R64" t="s">
        <v>520</v>
      </c>
      <c r="S64" t="s">
        <v>319</v>
      </c>
      <c r="T64" t="s">
        <v>320</v>
      </c>
      <c r="U64" t="s">
        <v>522</v>
      </c>
      <c r="V64" s="1">
        <v>0</v>
      </c>
      <c r="X64" t="s">
        <v>357</v>
      </c>
      <c r="Y64" t="s">
        <v>358</v>
      </c>
      <c r="Z64" t="s">
        <v>364</v>
      </c>
      <c r="AA64" t="s">
        <v>359</v>
      </c>
      <c r="AC64" t="s">
        <v>362</v>
      </c>
      <c r="AD64" t="s">
        <v>148</v>
      </c>
      <c r="AE64" t="s">
        <v>361</v>
      </c>
      <c r="AF64" t="s">
        <v>701</v>
      </c>
      <c r="AG64" t="s">
        <v>365</v>
      </c>
      <c r="AH64" s="50">
        <v>400000</v>
      </c>
      <c r="AI64" s="50">
        <v>230000</v>
      </c>
      <c r="AK64" t="s">
        <v>519</v>
      </c>
      <c r="AM64" t="s">
        <v>11</v>
      </c>
      <c r="AN64" t="s">
        <v>143</v>
      </c>
      <c r="AP64" t="s">
        <v>613</v>
      </c>
      <c r="AQ64" s="50">
        <v>0</v>
      </c>
      <c r="AR64" s="50">
        <v>0</v>
      </c>
      <c r="AS64" s="50">
        <v>0</v>
      </c>
      <c r="AT64" s="50">
        <v>230000</v>
      </c>
      <c r="AU64" t="s">
        <v>148</v>
      </c>
      <c r="AV64" t="s">
        <v>83</v>
      </c>
      <c r="AY64" t="s">
        <v>614</v>
      </c>
      <c r="BA64" s="53">
        <v>100</v>
      </c>
    </row>
    <row r="65" spans="1:53">
      <c r="A65" t="s">
        <v>168</v>
      </c>
      <c r="B65" s="2">
        <v>41718</v>
      </c>
      <c r="C65" s="2">
        <v>41701</v>
      </c>
      <c r="D65" t="s">
        <v>620</v>
      </c>
      <c r="E65" t="s">
        <v>561</v>
      </c>
      <c r="F65" s="2">
        <v>41649</v>
      </c>
      <c r="G65" s="2">
        <v>41907</v>
      </c>
      <c r="H65" s="2">
        <v>41866</v>
      </c>
      <c r="I65" s="2">
        <v>41701</v>
      </c>
      <c r="J65" t="s">
        <v>4</v>
      </c>
      <c r="K65" s="2">
        <v>41718</v>
      </c>
      <c r="L65" s="1">
        <v>57</v>
      </c>
      <c r="M65" s="1">
        <v>69</v>
      </c>
      <c r="N65" t="s">
        <v>313</v>
      </c>
      <c r="P65" t="s">
        <v>262</v>
      </c>
      <c r="Q65" t="s">
        <v>720</v>
      </c>
      <c r="R65" t="s">
        <v>744</v>
      </c>
      <c r="S65" t="s">
        <v>788</v>
      </c>
      <c r="T65" t="s">
        <v>709</v>
      </c>
      <c r="U65" t="s">
        <v>522</v>
      </c>
      <c r="V65" s="1">
        <v>0</v>
      </c>
      <c r="X65" t="s">
        <v>789</v>
      </c>
      <c r="Y65" t="s">
        <v>790</v>
      </c>
      <c r="Z65" t="s">
        <v>747</v>
      </c>
      <c r="AA65" t="s">
        <v>791</v>
      </c>
      <c r="AB65" t="s">
        <v>790</v>
      </c>
      <c r="AC65" t="s">
        <v>792</v>
      </c>
      <c r="AD65" t="s">
        <v>628</v>
      </c>
      <c r="AE65" t="s">
        <v>629</v>
      </c>
      <c r="AF65" t="s">
        <v>698</v>
      </c>
      <c r="AG65" t="s">
        <v>793</v>
      </c>
      <c r="AH65" s="50">
        <v>650000</v>
      </c>
      <c r="AI65" s="50">
        <v>10000</v>
      </c>
      <c r="AK65" t="s">
        <v>632</v>
      </c>
      <c r="AL65" t="s">
        <v>168</v>
      </c>
      <c r="AM65" t="s">
        <v>168</v>
      </c>
      <c r="AN65" t="s">
        <v>143</v>
      </c>
      <c r="AP65" t="s">
        <v>613</v>
      </c>
      <c r="AQ65" s="50">
        <v>0</v>
      </c>
      <c r="AR65" s="50">
        <v>0</v>
      </c>
      <c r="AS65" s="50">
        <v>0</v>
      </c>
      <c r="AT65" s="50">
        <v>660000</v>
      </c>
      <c r="AU65" t="s">
        <v>148</v>
      </c>
      <c r="AV65" t="s">
        <v>83</v>
      </c>
      <c r="AY65" t="s">
        <v>614</v>
      </c>
      <c r="BA65" s="53">
        <v>184</v>
      </c>
    </row>
    <row r="66" spans="1:53">
      <c r="A66" t="s">
        <v>1101</v>
      </c>
      <c r="D66" t="s">
        <v>112</v>
      </c>
      <c r="E66" t="s">
        <v>521</v>
      </c>
      <c r="F66" s="2">
        <v>41579</v>
      </c>
      <c r="J66" t="s">
        <v>112</v>
      </c>
      <c r="K66" s="2">
        <v>41773</v>
      </c>
      <c r="L66" s="1">
        <v>26</v>
      </c>
      <c r="N66" t="s">
        <v>154</v>
      </c>
      <c r="P66" t="s">
        <v>159</v>
      </c>
      <c r="Q66" t="s">
        <v>4</v>
      </c>
      <c r="R66" t="s">
        <v>520</v>
      </c>
      <c r="S66" t="s">
        <v>319</v>
      </c>
      <c r="T66" t="s">
        <v>320</v>
      </c>
      <c r="U66" t="s">
        <v>522</v>
      </c>
      <c r="V66" s="1">
        <v>0</v>
      </c>
      <c r="X66" t="s">
        <v>152</v>
      </c>
      <c r="Y66" t="s">
        <v>151</v>
      </c>
      <c r="Z66" t="s">
        <v>150</v>
      </c>
      <c r="AA66" t="s">
        <v>144</v>
      </c>
      <c r="AB66" t="s">
        <v>148</v>
      </c>
      <c r="AD66" t="s">
        <v>155</v>
      </c>
      <c r="AE66" t="s">
        <v>146</v>
      </c>
      <c r="AF66" t="s">
        <v>145</v>
      </c>
      <c r="AG66" t="s">
        <v>149</v>
      </c>
      <c r="AH66" s="50">
        <v>298000</v>
      </c>
      <c r="AI66" s="50">
        <v>137000</v>
      </c>
      <c r="AK66" t="s">
        <v>519</v>
      </c>
      <c r="AL66" t="s">
        <v>11</v>
      </c>
      <c r="AM66" t="s">
        <v>11</v>
      </c>
      <c r="AN66" t="s">
        <v>143</v>
      </c>
      <c r="AO66" t="s">
        <v>678</v>
      </c>
      <c r="AP66" t="s">
        <v>613</v>
      </c>
      <c r="AT66" s="50">
        <v>137000</v>
      </c>
      <c r="AU66" t="s">
        <v>142</v>
      </c>
      <c r="AV66" t="s">
        <v>83</v>
      </c>
      <c r="AW66" t="s">
        <v>251</v>
      </c>
      <c r="AX66" t="s">
        <v>188</v>
      </c>
      <c r="AY66" t="s">
        <v>614</v>
      </c>
      <c r="AZ66" t="s">
        <v>13</v>
      </c>
      <c r="BA66" s="53">
        <v>176</v>
      </c>
    </row>
    <row r="67" spans="1:53">
      <c r="A67" t="s">
        <v>1101</v>
      </c>
      <c r="D67" t="s">
        <v>620</v>
      </c>
      <c r="E67" t="s">
        <v>561</v>
      </c>
      <c r="F67" s="2">
        <v>41650</v>
      </c>
      <c r="G67" s="2">
        <v>42243</v>
      </c>
      <c r="H67" s="2">
        <v>42202</v>
      </c>
      <c r="I67" s="2">
        <v>42037</v>
      </c>
      <c r="K67" s="2">
        <v>42020</v>
      </c>
      <c r="L67" s="1">
        <v>45</v>
      </c>
      <c r="N67" t="s">
        <v>160</v>
      </c>
      <c r="P67" t="s">
        <v>801</v>
      </c>
      <c r="Q67" t="s">
        <v>720</v>
      </c>
      <c r="R67" t="s">
        <v>158</v>
      </c>
      <c r="S67" t="s">
        <v>319</v>
      </c>
      <c r="T67" t="s">
        <v>157</v>
      </c>
      <c r="V67" s="1">
        <v>0</v>
      </c>
      <c r="X67" t="s">
        <v>802</v>
      </c>
      <c r="Y67" t="s">
        <v>803</v>
      </c>
      <c r="Z67" t="s">
        <v>797</v>
      </c>
      <c r="AA67" t="s">
        <v>803</v>
      </c>
      <c r="AB67" t="s">
        <v>804</v>
      </c>
      <c r="AC67" t="s">
        <v>805</v>
      </c>
      <c r="AD67" t="s">
        <v>750</v>
      </c>
      <c r="AE67" t="s">
        <v>629</v>
      </c>
      <c r="AF67" t="s">
        <v>698</v>
      </c>
      <c r="AG67" t="s">
        <v>800</v>
      </c>
      <c r="AH67" s="50">
        <v>879000</v>
      </c>
      <c r="AI67" s="50">
        <v>235000</v>
      </c>
      <c r="AK67" t="s">
        <v>632</v>
      </c>
      <c r="AL67" t="s">
        <v>704</v>
      </c>
      <c r="AM67" t="s">
        <v>168</v>
      </c>
      <c r="AN67" t="s">
        <v>143</v>
      </c>
      <c r="AP67" t="s">
        <v>613</v>
      </c>
      <c r="AQ67" s="50">
        <v>0</v>
      </c>
      <c r="AR67" s="50">
        <v>0</v>
      </c>
      <c r="AS67" s="50">
        <v>0</v>
      </c>
      <c r="AT67" s="50">
        <v>879000</v>
      </c>
      <c r="AU67" t="s">
        <v>186</v>
      </c>
      <c r="AV67" t="s">
        <v>82</v>
      </c>
      <c r="AY67" t="s">
        <v>614</v>
      </c>
      <c r="BA67" s="53">
        <v>122</v>
      </c>
    </row>
    <row r="68" spans="1:53">
      <c r="A68" t="s">
        <v>1101</v>
      </c>
      <c r="D68" t="s">
        <v>528</v>
      </c>
      <c r="E68" t="s">
        <v>848</v>
      </c>
      <c r="F68" s="2">
        <v>41579</v>
      </c>
      <c r="G68" s="2">
        <v>42052</v>
      </c>
      <c r="H68" s="2">
        <v>42011</v>
      </c>
      <c r="I68" s="2">
        <v>41780</v>
      </c>
      <c r="J68" t="s">
        <v>248</v>
      </c>
      <c r="K68" s="2">
        <v>41760</v>
      </c>
      <c r="L68" s="1">
        <v>109</v>
      </c>
      <c r="N68" t="s">
        <v>160</v>
      </c>
      <c r="P68" t="s">
        <v>849</v>
      </c>
      <c r="Q68" t="s">
        <v>850</v>
      </c>
      <c r="R68" t="s">
        <v>850</v>
      </c>
      <c r="S68" t="s">
        <v>851</v>
      </c>
      <c r="T68" t="s">
        <v>852</v>
      </c>
      <c r="U68" t="s">
        <v>529</v>
      </c>
      <c r="V68" s="1">
        <v>0</v>
      </c>
      <c r="X68" t="s">
        <v>853</v>
      </c>
      <c r="Y68" t="s">
        <v>333</v>
      </c>
      <c r="Z68" t="s">
        <v>334</v>
      </c>
      <c r="AA68" t="s">
        <v>340</v>
      </c>
      <c r="AB68" t="s">
        <v>336</v>
      </c>
      <c r="AC68" t="s">
        <v>333</v>
      </c>
      <c r="AD68" t="s">
        <v>337</v>
      </c>
      <c r="AE68" t="s">
        <v>338</v>
      </c>
      <c r="AF68" t="s">
        <v>339</v>
      </c>
      <c r="AG68" t="s">
        <v>335</v>
      </c>
      <c r="AH68" s="50">
        <v>500000</v>
      </c>
      <c r="AI68" s="50">
        <v>350000</v>
      </c>
      <c r="AK68" t="s">
        <v>812</v>
      </c>
      <c r="AM68" t="s">
        <v>663</v>
      </c>
      <c r="AN68" t="s">
        <v>143</v>
      </c>
      <c r="AP68" t="s">
        <v>613</v>
      </c>
      <c r="AT68" s="50">
        <v>350000</v>
      </c>
      <c r="AU68" t="s">
        <v>186</v>
      </c>
      <c r="AV68" t="s">
        <v>83</v>
      </c>
      <c r="AY68" t="s">
        <v>614</v>
      </c>
      <c r="BA68" s="53">
        <v>159</v>
      </c>
    </row>
    <row r="69" spans="1:53">
      <c r="A69" t="s">
        <v>1101</v>
      </c>
      <c r="D69" t="s">
        <v>528</v>
      </c>
      <c r="E69" t="s">
        <v>848</v>
      </c>
      <c r="F69" s="2">
        <v>41579</v>
      </c>
      <c r="G69" s="2">
        <v>42311</v>
      </c>
      <c r="H69" s="2">
        <v>42270</v>
      </c>
      <c r="I69" s="2">
        <v>41773</v>
      </c>
      <c r="J69" t="s">
        <v>249</v>
      </c>
      <c r="K69" s="2">
        <v>41760</v>
      </c>
      <c r="L69" s="1">
        <v>99</v>
      </c>
      <c r="N69" t="s">
        <v>154</v>
      </c>
      <c r="P69" t="s">
        <v>854</v>
      </c>
      <c r="Q69" t="s">
        <v>850</v>
      </c>
      <c r="R69" t="s">
        <v>850</v>
      </c>
      <c r="S69" t="s">
        <v>855</v>
      </c>
      <c r="T69" t="s">
        <v>856</v>
      </c>
      <c r="U69" t="s">
        <v>570</v>
      </c>
      <c r="V69" s="1">
        <v>0</v>
      </c>
      <c r="X69" t="s">
        <v>857</v>
      </c>
      <c r="Y69" t="s">
        <v>151</v>
      </c>
      <c r="Z69" t="s">
        <v>150</v>
      </c>
      <c r="AA69" t="s">
        <v>144</v>
      </c>
      <c r="AB69" t="s">
        <v>858</v>
      </c>
      <c r="AD69" t="s">
        <v>155</v>
      </c>
      <c r="AE69" t="s">
        <v>146</v>
      </c>
      <c r="AF69" t="s">
        <v>145</v>
      </c>
      <c r="AG69" t="s">
        <v>149</v>
      </c>
      <c r="AH69" s="50">
        <v>300000</v>
      </c>
      <c r="AI69" s="50">
        <v>130000</v>
      </c>
      <c r="AK69" t="s">
        <v>812</v>
      </c>
      <c r="AL69" t="s">
        <v>663</v>
      </c>
      <c r="AM69" t="s">
        <v>663</v>
      </c>
      <c r="AN69" t="s">
        <v>143</v>
      </c>
      <c r="AP69" t="s">
        <v>613</v>
      </c>
      <c r="AQ69" s="50">
        <v>0</v>
      </c>
      <c r="AR69" s="50">
        <v>0</v>
      </c>
      <c r="AS69" s="50">
        <v>0</v>
      </c>
      <c r="AT69" s="50">
        <v>130000</v>
      </c>
      <c r="AU69" t="s">
        <v>142</v>
      </c>
      <c r="AV69" t="s">
        <v>83</v>
      </c>
      <c r="AY69" t="s">
        <v>614</v>
      </c>
      <c r="BA69" s="53">
        <v>100</v>
      </c>
    </row>
    <row r="70" spans="1:53">
      <c r="A70" t="s">
        <v>168</v>
      </c>
      <c r="B70" s="2">
        <v>41718</v>
      </c>
      <c r="C70" s="2">
        <v>41703</v>
      </c>
      <c r="D70" t="s">
        <v>620</v>
      </c>
      <c r="E70" t="s">
        <v>561</v>
      </c>
      <c r="F70" s="2">
        <v>41608</v>
      </c>
      <c r="G70" s="2">
        <v>41816</v>
      </c>
      <c r="H70" s="2">
        <v>41775</v>
      </c>
      <c r="I70" s="2">
        <v>41764</v>
      </c>
      <c r="J70" t="s">
        <v>112</v>
      </c>
      <c r="K70" s="2">
        <v>41718</v>
      </c>
      <c r="L70" s="1">
        <v>64</v>
      </c>
      <c r="M70" s="1">
        <v>53</v>
      </c>
      <c r="N70" t="s">
        <v>313</v>
      </c>
      <c r="P70" t="s">
        <v>880</v>
      </c>
      <c r="Q70" t="s">
        <v>622</v>
      </c>
      <c r="S70" t="s">
        <v>703</v>
      </c>
      <c r="T70" t="s">
        <v>696</v>
      </c>
      <c r="U70" t="s">
        <v>109</v>
      </c>
      <c r="V70" s="1">
        <v>0</v>
      </c>
      <c r="X70" t="s">
        <v>881</v>
      </c>
      <c r="Y70" t="s">
        <v>697</v>
      </c>
      <c r="Z70" t="s">
        <v>882</v>
      </c>
      <c r="AA70" t="s">
        <v>697</v>
      </c>
      <c r="AB70" t="s">
        <v>883</v>
      </c>
      <c r="AC70" t="s">
        <v>884</v>
      </c>
      <c r="AD70" t="s">
        <v>885</v>
      </c>
      <c r="AE70" t="s">
        <v>728</v>
      </c>
      <c r="AF70" t="s">
        <v>886</v>
      </c>
      <c r="AG70" t="s">
        <v>730</v>
      </c>
      <c r="AK70" t="s">
        <v>632</v>
      </c>
      <c r="AL70" t="s">
        <v>185</v>
      </c>
      <c r="AM70" t="s">
        <v>168</v>
      </c>
      <c r="AN70" t="s">
        <v>261</v>
      </c>
      <c r="AP70" t="s">
        <v>613</v>
      </c>
      <c r="AR70" s="21">
        <v>0</v>
      </c>
      <c r="AS70" s="21">
        <v>0</v>
      </c>
      <c r="AT70" s="21">
        <v>0</v>
      </c>
      <c r="AU70" t="s">
        <v>148</v>
      </c>
      <c r="AV70" t="s">
        <v>83</v>
      </c>
      <c r="AY70" t="s">
        <v>614</v>
      </c>
      <c r="BA70" s="53">
        <v>163</v>
      </c>
    </row>
    <row r="71" spans="1:53">
      <c r="A71" t="s">
        <v>171</v>
      </c>
      <c r="B71" s="2">
        <v>41752</v>
      </c>
      <c r="C71" s="2">
        <v>41487</v>
      </c>
      <c r="D71" t="s">
        <v>989</v>
      </c>
      <c r="E71" t="s">
        <v>532</v>
      </c>
      <c r="F71" s="2">
        <v>41579</v>
      </c>
      <c r="G71" s="2">
        <v>41878</v>
      </c>
      <c r="H71" s="2">
        <v>41878</v>
      </c>
      <c r="I71" s="2">
        <v>41487</v>
      </c>
      <c r="J71" t="s">
        <v>575</v>
      </c>
      <c r="K71" s="2">
        <v>41752</v>
      </c>
      <c r="L71" s="1">
        <v>141</v>
      </c>
      <c r="M71" s="1">
        <v>93</v>
      </c>
      <c r="N71" t="s">
        <v>313</v>
      </c>
      <c r="P71" t="s">
        <v>1022</v>
      </c>
      <c r="Q71" t="s">
        <v>990</v>
      </c>
      <c r="R71" t="s">
        <v>1004</v>
      </c>
      <c r="S71" t="s">
        <v>172</v>
      </c>
      <c r="T71" t="s">
        <v>172</v>
      </c>
      <c r="U71" t="s">
        <v>522</v>
      </c>
      <c r="V71" s="1">
        <v>0</v>
      </c>
      <c r="X71" t="s">
        <v>381</v>
      </c>
      <c r="Y71" t="s">
        <v>382</v>
      </c>
      <c r="Z71" t="s">
        <v>383</v>
      </c>
      <c r="AA71" t="s">
        <v>384</v>
      </c>
      <c r="AB71" t="s">
        <v>385</v>
      </c>
      <c r="AC71" t="s">
        <v>346</v>
      </c>
      <c r="AD71" t="s">
        <v>386</v>
      </c>
      <c r="AF71" t="s">
        <v>425</v>
      </c>
      <c r="AG71" t="s">
        <v>426</v>
      </c>
      <c r="AH71" s="50">
        <v>750000</v>
      </c>
      <c r="AI71" s="50">
        <v>425000</v>
      </c>
      <c r="AK71" t="s">
        <v>992</v>
      </c>
      <c r="AM71" t="s">
        <v>171</v>
      </c>
      <c r="AN71" t="s">
        <v>143</v>
      </c>
      <c r="AP71" t="s">
        <v>613</v>
      </c>
      <c r="AT71" s="50">
        <v>425000</v>
      </c>
      <c r="AU71" t="s">
        <v>148</v>
      </c>
      <c r="AV71" t="s">
        <v>83</v>
      </c>
      <c r="AW71" t="s">
        <v>251</v>
      </c>
      <c r="AX71" t="s">
        <v>170</v>
      </c>
      <c r="AY71" t="s">
        <v>614</v>
      </c>
      <c r="BA71" s="53">
        <v>123</v>
      </c>
    </row>
    <row r="72" spans="1:53">
      <c r="D72" t="s">
        <v>808</v>
      </c>
      <c r="E72" t="s">
        <v>561</v>
      </c>
      <c r="F72" s="2">
        <v>41764</v>
      </c>
      <c r="G72" s="2">
        <v>42013</v>
      </c>
      <c r="H72" s="2">
        <v>41974</v>
      </c>
      <c r="I72" s="2">
        <v>41772</v>
      </c>
      <c r="K72" s="2">
        <v>41764</v>
      </c>
      <c r="L72" s="1">
        <v>157</v>
      </c>
      <c r="N72" t="s">
        <v>160</v>
      </c>
      <c r="P72" t="s">
        <v>1033</v>
      </c>
      <c r="Q72" t="s">
        <v>808</v>
      </c>
      <c r="R72" t="s">
        <v>808</v>
      </c>
      <c r="T72" t="s">
        <v>810</v>
      </c>
      <c r="U72" t="s">
        <v>522</v>
      </c>
      <c r="V72" s="1">
        <v>0</v>
      </c>
      <c r="AH72" s="50">
        <v>1000000</v>
      </c>
      <c r="AI72" s="50">
        <v>1500000</v>
      </c>
      <c r="AK72" t="s">
        <v>812</v>
      </c>
      <c r="AL72" t="s">
        <v>663</v>
      </c>
      <c r="AM72" t="s">
        <v>663</v>
      </c>
      <c r="AN72" t="s">
        <v>143</v>
      </c>
      <c r="AP72" t="s">
        <v>613</v>
      </c>
      <c r="AT72" s="50">
        <v>1500000</v>
      </c>
      <c r="AU72" t="s">
        <v>186</v>
      </c>
      <c r="AV72" t="s">
        <v>82</v>
      </c>
      <c r="AY72" t="s">
        <v>614</v>
      </c>
      <c r="BA72" s="53">
        <v>198</v>
      </c>
    </row>
    <row r="73" spans="1:53">
      <c r="A73" t="s">
        <v>1101</v>
      </c>
      <c r="D73" t="s">
        <v>989</v>
      </c>
      <c r="E73" t="s">
        <v>532</v>
      </c>
      <c r="F73" s="2">
        <v>41579</v>
      </c>
      <c r="K73" s="2">
        <v>41740</v>
      </c>
      <c r="L73" s="1">
        <v>122</v>
      </c>
      <c r="N73" t="s">
        <v>154</v>
      </c>
      <c r="P73" t="s">
        <v>276</v>
      </c>
      <c r="Q73" t="s">
        <v>990</v>
      </c>
      <c r="R73" t="s">
        <v>991</v>
      </c>
      <c r="S73" t="s">
        <v>172</v>
      </c>
      <c r="T73" t="s">
        <v>172</v>
      </c>
      <c r="V73" s="1">
        <v>0</v>
      </c>
      <c r="AH73" s="50">
        <v>5800000</v>
      </c>
      <c r="AI73" s="50">
        <v>400000</v>
      </c>
      <c r="AK73" t="s">
        <v>992</v>
      </c>
      <c r="AL73" t="s">
        <v>171</v>
      </c>
      <c r="AM73" t="s">
        <v>171</v>
      </c>
      <c r="AN73" t="s">
        <v>143</v>
      </c>
      <c r="AP73" t="s">
        <v>613</v>
      </c>
      <c r="AQ73" s="50">
        <v>0</v>
      </c>
      <c r="AR73" s="50">
        <v>0</v>
      </c>
      <c r="AS73" s="50">
        <v>0</v>
      </c>
      <c r="AT73" s="50">
        <v>400000</v>
      </c>
      <c r="AU73" t="s">
        <v>142</v>
      </c>
      <c r="AV73" t="s">
        <v>83</v>
      </c>
      <c r="AY73" t="s">
        <v>614</v>
      </c>
      <c r="BA73" s="53">
        <v>118</v>
      </c>
    </row>
    <row r="74" spans="1:53">
      <c r="D74" t="s">
        <v>528</v>
      </c>
      <c r="E74" t="s">
        <v>859</v>
      </c>
      <c r="F74" s="2">
        <v>41751</v>
      </c>
      <c r="G74" s="2">
        <v>42116</v>
      </c>
      <c r="H74" s="2">
        <v>42075</v>
      </c>
      <c r="I74" s="2">
        <v>41781</v>
      </c>
      <c r="J74" t="s">
        <v>249</v>
      </c>
      <c r="K74" s="2">
        <v>41760</v>
      </c>
      <c r="L74" s="1">
        <v>153</v>
      </c>
      <c r="N74" t="s">
        <v>160</v>
      </c>
      <c r="P74" t="s">
        <v>1037</v>
      </c>
      <c r="Q74" t="s">
        <v>850</v>
      </c>
      <c r="R74" t="s">
        <v>850</v>
      </c>
      <c r="S74" t="s">
        <v>855</v>
      </c>
      <c r="T74" t="s">
        <v>856</v>
      </c>
      <c r="U74" t="s">
        <v>109</v>
      </c>
      <c r="V74" s="1">
        <v>0</v>
      </c>
      <c r="X74" t="s">
        <v>860</v>
      </c>
      <c r="Y74" t="s">
        <v>151</v>
      </c>
      <c r="Z74" t="s">
        <v>150</v>
      </c>
      <c r="AA74" t="s">
        <v>144</v>
      </c>
      <c r="AB74" t="s">
        <v>858</v>
      </c>
      <c r="AD74" t="s">
        <v>147</v>
      </c>
      <c r="AE74" t="s">
        <v>146</v>
      </c>
      <c r="AF74" t="s">
        <v>145</v>
      </c>
      <c r="AG74" t="s">
        <v>149</v>
      </c>
      <c r="AH74" s="50">
        <v>300000</v>
      </c>
      <c r="AI74" s="50">
        <v>130000</v>
      </c>
      <c r="AK74" t="s">
        <v>812</v>
      </c>
      <c r="AL74" t="s">
        <v>663</v>
      </c>
      <c r="AM74" t="s">
        <v>663</v>
      </c>
      <c r="AN74" t="s">
        <v>143</v>
      </c>
      <c r="AP74" t="s">
        <v>613</v>
      </c>
      <c r="AT74" s="50">
        <v>130000</v>
      </c>
      <c r="AU74" t="s">
        <v>186</v>
      </c>
      <c r="AV74" t="s">
        <v>83</v>
      </c>
      <c r="AY74" t="s">
        <v>614</v>
      </c>
      <c r="BA74" s="53">
        <v>151</v>
      </c>
    </row>
    <row r="75" spans="1:53">
      <c r="A75" t="s">
        <v>1101</v>
      </c>
      <c r="D75" t="s">
        <v>528</v>
      </c>
      <c r="E75" t="s">
        <v>848</v>
      </c>
      <c r="F75" s="2">
        <v>41579</v>
      </c>
      <c r="G75" s="2">
        <v>42066</v>
      </c>
      <c r="H75" s="2">
        <v>42025</v>
      </c>
      <c r="I75" s="2">
        <v>41773</v>
      </c>
      <c r="J75" t="s">
        <v>249</v>
      </c>
      <c r="K75" s="2">
        <v>41760</v>
      </c>
      <c r="L75" s="1">
        <v>116</v>
      </c>
      <c r="N75" t="s">
        <v>160</v>
      </c>
      <c r="P75" t="s">
        <v>998</v>
      </c>
      <c r="Q75" t="s">
        <v>850</v>
      </c>
      <c r="R75" t="s">
        <v>850</v>
      </c>
      <c r="S75" t="s">
        <v>851</v>
      </c>
      <c r="T75" t="s">
        <v>852</v>
      </c>
      <c r="U75" t="s">
        <v>522</v>
      </c>
      <c r="V75" s="1">
        <v>0</v>
      </c>
      <c r="X75" t="s">
        <v>999</v>
      </c>
      <c r="Y75" t="s">
        <v>402</v>
      </c>
      <c r="Z75" t="s">
        <v>390</v>
      </c>
      <c r="AA75" t="s">
        <v>406</v>
      </c>
      <c r="AB75" t="s">
        <v>403</v>
      </c>
      <c r="AC75" t="s">
        <v>333</v>
      </c>
      <c r="AD75" t="s">
        <v>391</v>
      </c>
      <c r="AE75" t="s">
        <v>404</v>
      </c>
      <c r="AF75" t="s">
        <v>405</v>
      </c>
      <c r="AG75" t="s">
        <v>374</v>
      </c>
      <c r="AH75" s="50">
        <v>899000</v>
      </c>
      <c r="AI75" s="50">
        <v>722000</v>
      </c>
      <c r="AK75" t="s">
        <v>812</v>
      </c>
      <c r="AL75" t="s">
        <v>663</v>
      </c>
      <c r="AM75" t="s">
        <v>663</v>
      </c>
      <c r="AN75" t="s">
        <v>143</v>
      </c>
      <c r="AP75" t="s">
        <v>613</v>
      </c>
      <c r="AT75" s="50">
        <v>722000</v>
      </c>
      <c r="AU75" t="s">
        <v>186</v>
      </c>
      <c r="AV75" t="s">
        <v>83</v>
      </c>
      <c r="AY75" t="s">
        <v>614</v>
      </c>
      <c r="BA75" s="53">
        <v>182</v>
      </c>
    </row>
    <row r="76" spans="1:53">
      <c r="A76" t="s">
        <v>663</v>
      </c>
      <c r="B76" s="2">
        <v>41758</v>
      </c>
      <c r="C76" s="2">
        <v>41715</v>
      </c>
      <c r="D76" t="s">
        <v>112</v>
      </c>
      <c r="E76" t="s">
        <v>848</v>
      </c>
      <c r="F76" s="2">
        <v>41579</v>
      </c>
      <c r="G76" s="2">
        <v>41921</v>
      </c>
      <c r="H76" s="2">
        <v>41880</v>
      </c>
      <c r="I76" s="2">
        <v>41778</v>
      </c>
      <c r="J76" t="s">
        <v>575</v>
      </c>
      <c r="K76" s="2">
        <v>41758</v>
      </c>
      <c r="L76" s="1">
        <v>117</v>
      </c>
      <c r="M76" s="1">
        <v>100</v>
      </c>
      <c r="N76" t="s">
        <v>313</v>
      </c>
      <c r="P76" t="s">
        <v>1000</v>
      </c>
      <c r="Q76" t="s">
        <v>895</v>
      </c>
      <c r="R76" t="s">
        <v>895</v>
      </c>
      <c r="S76" t="s">
        <v>809</v>
      </c>
      <c r="T76" t="s">
        <v>897</v>
      </c>
      <c r="U76" t="s">
        <v>522</v>
      </c>
      <c r="V76" s="1">
        <v>0</v>
      </c>
      <c r="X76" t="s">
        <v>1001</v>
      </c>
      <c r="Y76" t="s">
        <v>407</v>
      </c>
      <c r="Z76" t="s">
        <v>408</v>
      </c>
      <c r="AB76" t="s">
        <v>410</v>
      </c>
      <c r="AC76" t="s">
        <v>407</v>
      </c>
      <c r="AD76" t="s">
        <v>148</v>
      </c>
      <c r="AE76" t="s">
        <v>411</v>
      </c>
      <c r="AF76" t="s">
        <v>412</v>
      </c>
      <c r="AG76" t="s">
        <v>409</v>
      </c>
      <c r="AH76" s="50">
        <v>567000</v>
      </c>
      <c r="AI76" s="50">
        <v>410000</v>
      </c>
      <c r="AK76" t="s">
        <v>812</v>
      </c>
      <c r="AM76" t="s">
        <v>663</v>
      </c>
      <c r="AN76" t="s">
        <v>143</v>
      </c>
      <c r="AP76" t="s">
        <v>613</v>
      </c>
      <c r="AQ76" s="50">
        <v>0</v>
      </c>
      <c r="AR76" s="50">
        <v>0</v>
      </c>
      <c r="AS76" s="50">
        <v>0</v>
      </c>
      <c r="AT76" s="50">
        <v>410000</v>
      </c>
      <c r="AU76" t="s">
        <v>148</v>
      </c>
      <c r="AV76" t="s">
        <v>83</v>
      </c>
      <c r="AY76" t="s">
        <v>614</v>
      </c>
      <c r="BA76" s="53">
        <v>194</v>
      </c>
    </row>
    <row r="77" spans="1:53">
      <c r="A77" t="s">
        <v>1101</v>
      </c>
      <c r="D77" t="s">
        <v>251</v>
      </c>
      <c r="E77" t="s">
        <v>532</v>
      </c>
      <c r="F77" s="2">
        <v>41579</v>
      </c>
      <c r="G77" s="2">
        <v>42489</v>
      </c>
      <c r="H77" s="2">
        <v>42489</v>
      </c>
      <c r="I77" s="2">
        <v>42044</v>
      </c>
      <c r="J77" t="s">
        <v>248</v>
      </c>
      <c r="K77" s="2">
        <v>42018</v>
      </c>
      <c r="L77" s="1">
        <v>129</v>
      </c>
      <c r="N77" t="s">
        <v>160</v>
      </c>
      <c r="P77" t="s">
        <v>279</v>
      </c>
      <c r="Q77" t="s">
        <v>990</v>
      </c>
      <c r="R77" t="s">
        <v>991</v>
      </c>
      <c r="S77" t="s">
        <v>172</v>
      </c>
      <c r="T77" t="s">
        <v>172</v>
      </c>
      <c r="U77" t="s">
        <v>109</v>
      </c>
      <c r="V77" s="1">
        <v>0</v>
      </c>
      <c r="X77" t="s">
        <v>1002</v>
      </c>
      <c r="Y77" t="s">
        <v>280</v>
      </c>
      <c r="Z77" t="s">
        <v>281</v>
      </c>
      <c r="AA77" t="s">
        <v>282</v>
      </c>
      <c r="AB77" t="s">
        <v>283</v>
      </c>
      <c r="AC77" t="s">
        <v>284</v>
      </c>
      <c r="AD77" t="s">
        <v>285</v>
      </c>
      <c r="AE77" t="s">
        <v>286</v>
      </c>
      <c r="AF77" t="s">
        <v>287</v>
      </c>
      <c r="AH77" s="50">
        <v>7600000</v>
      </c>
      <c r="AI77" s="50">
        <v>123000</v>
      </c>
      <c r="AK77" t="s">
        <v>992</v>
      </c>
      <c r="AL77" t="s">
        <v>171</v>
      </c>
      <c r="AM77" t="s">
        <v>171</v>
      </c>
      <c r="AN77" t="s">
        <v>143</v>
      </c>
      <c r="AP77" t="s">
        <v>613</v>
      </c>
      <c r="AQ77" s="50">
        <v>0</v>
      </c>
      <c r="AR77" s="50">
        <v>0</v>
      </c>
      <c r="AS77" s="50">
        <v>0</v>
      </c>
      <c r="AT77" s="50">
        <v>123000</v>
      </c>
      <c r="AU77" t="s">
        <v>186</v>
      </c>
      <c r="AV77" t="s">
        <v>82</v>
      </c>
      <c r="AY77" t="s">
        <v>614</v>
      </c>
      <c r="BA77" s="53">
        <v>109</v>
      </c>
    </row>
    <row r="78" spans="1:53">
      <c r="C78" s="2">
        <v>41708</v>
      </c>
      <c r="D78" t="s">
        <v>112</v>
      </c>
      <c r="E78" t="s">
        <v>806</v>
      </c>
      <c r="F78" s="2">
        <v>41764</v>
      </c>
      <c r="G78" s="2">
        <v>41858</v>
      </c>
      <c r="H78" s="2">
        <v>41828</v>
      </c>
      <c r="I78" s="2">
        <v>41799</v>
      </c>
      <c r="J78" t="s">
        <v>532</v>
      </c>
      <c r="K78" s="2">
        <v>41764</v>
      </c>
      <c r="L78" s="1">
        <v>156</v>
      </c>
      <c r="N78" t="s">
        <v>310</v>
      </c>
      <c r="P78" t="s">
        <v>1032</v>
      </c>
      <c r="Q78" t="s">
        <v>808</v>
      </c>
      <c r="R78" t="s">
        <v>808</v>
      </c>
      <c r="S78" t="s">
        <v>809</v>
      </c>
      <c r="T78" t="s">
        <v>1007</v>
      </c>
      <c r="U78" t="s">
        <v>529</v>
      </c>
      <c r="V78" s="1">
        <v>0</v>
      </c>
      <c r="X78" t="s">
        <v>1008</v>
      </c>
      <c r="Y78" t="s">
        <v>396</v>
      </c>
      <c r="Z78" t="s">
        <v>148</v>
      </c>
      <c r="AB78" t="s">
        <v>396</v>
      </c>
      <c r="AC78" t="s">
        <v>398</v>
      </c>
      <c r="AD78" t="s">
        <v>148</v>
      </c>
      <c r="AE78" t="s">
        <v>399</v>
      </c>
      <c r="AF78" t="s">
        <v>400</v>
      </c>
      <c r="AG78" t="s">
        <v>397</v>
      </c>
      <c r="AH78" s="50">
        <v>1000000</v>
      </c>
      <c r="AI78" s="50">
        <v>720000</v>
      </c>
      <c r="AK78" t="s">
        <v>812</v>
      </c>
      <c r="AL78" t="s">
        <v>663</v>
      </c>
      <c r="AM78" t="s">
        <v>663</v>
      </c>
      <c r="AN78" t="s">
        <v>143</v>
      </c>
      <c r="AP78" t="s">
        <v>613</v>
      </c>
      <c r="AQ78" s="50">
        <v>0</v>
      </c>
      <c r="AR78" s="50">
        <v>0</v>
      </c>
      <c r="AS78" s="50">
        <v>0</v>
      </c>
      <c r="AT78" s="50">
        <v>720000</v>
      </c>
      <c r="AU78" t="s">
        <v>311</v>
      </c>
      <c r="AV78" t="s">
        <v>83</v>
      </c>
      <c r="AY78" t="s">
        <v>614</v>
      </c>
      <c r="BA78" s="53">
        <v>151</v>
      </c>
    </row>
    <row r="79" spans="1:53">
      <c r="A79" t="s">
        <v>663</v>
      </c>
      <c r="B79" s="2">
        <v>41757</v>
      </c>
      <c r="C79" s="2">
        <v>41694</v>
      </c>
      <c r="D79" t="s">
        <v>528</v>
      </c>
      <c r="E79" t="s">
        <v>859</v>
      </c>
      <c r="F79" s="2">
        <v>41579</v>
      </c>
      <c r="G79" s="2">
        <v>41880</v>
      </c>
      <c r="H79" s="2">
        <v>41841</v>
      </c>
      <c r="I79" s="2">
        <v>41765</v>
      </c>
      <c r="J79" t="s">
        <v>561</v>
      </c>
      <c r="K79" s="2">
        <v>41757</v>
      </c>
      <c r="L79" s="1">
        <v>114</v>
      </c>
      <c r="M79" s="1">
        <v>96</v>
      </c>
      <c r="N79" t="s">
        <v>313</v>
      </c>
      <c r="P79" t="s">
        <v>1009</v>
      </c>
      <c r="Q79" t="s">
        <v>850</v>
      </c>
      <c r="R79" t="s">
        <v>850</v>
      </c>
      <c r="S79" t="s">
        <v>855</v>
      </c>
      <c r="T79" t="s">
        <v>856</v>
      </c>
      <c r="U79" t="s">
        <v>522</v>
      </c>
      <c r="V79" s="1">
        <v>0</v>
      </c>
      <c r="X79" t="s">
        <v>1010</v>
      </c>
      <c r="AH79" s="50">
        <v>722000</v>
      </c>
      <c r="AI79" s="50">
        <v>563000</v>
      </c>
      <c r="AK79" t="s">
        <v>812</v>
      </c>
      <c r="AL79" t="s">
        <v>663</v>
      </c>
      <c r="AM79" t="s">
        <v>663</v>
      </c>
      <c r="AN79" t="s">
        <v>143</v>
      </c>
      <c r="AP79" t="s">
        <v>613</v>
      </c>
      <c r="AQ79" s="50">
        <v>0</v>
      </c>
      <c r="AR79" s="50">
        <v>0</v>
      </c>
      <c r="AS79" s="50">
        <v>0</v>
      </c>
      <c r="AT79" s="50">
        <v>563000</v>
      </c>
      <c r="AU79" t="s">
        <v>148</v>
      </c>
      <c r="AV79" t="s">
        <v>83</v>
      </c>
      <c r="AY79" t="s">
        <v>614</v>
      </c>
      <c r="BA79" s="53">
        <v>136</v>
      </c>
    </row>
    <row r="80" spans="1:53">
      <c r="A80" t="s">
        <v>168</v>
      </c>
      <c r="B80" s="2">
        <v>41718</v>
      </c>
      <c r="C80" s="2">
        <v>41792</v>
      </c>
      <c r="D80" t="s">
        <v>620</v>
      </c>
      <c r="E80" t="s">
        <v>561</v>
      </c>
      <c r="F80" s="2">
        <v>41608</v>
      </c>
      <c r="G80" s="2">
        <v>41883</v>
      </c>
      <c r="H80" s="2">
        <v>41842</v>
      </c>
      <c r="I80" s="2">
        <v>41792</v>
      </c>
      <c r="J80" t="s">
        <v>112</v>
      </c>
      <c r="K80" s="2">
        <v>41718</v>
      </c>
      <c r="L80" s="1">
        <v>77</v>
      </c>
      <c r="M80" s="1">
        <v>56</v>
      </c>
      <c r="N80" t="s">
        <v>313</v>
      </c>
      <c r="P80" t="s">
        <v>314</v>
      </c>
      <c r="Q80" t="s">
        <v>622</v>
      </c>
      <c r="R80" t="s">
        <v>794</v>
      </c>
      <c r="S80" t="s">
        <v>260</v>
      </c>
      <c r="T80" t="s">
        <v>820</v>
      </c>
      <c r="U80" t="s">
        <v>562</v>
      </c>
      <c r="V80" s="1">
        <v>0</v>
      </c>
      <c r="X80" t="s">
        <v>978</v>
      </c>
      <c r="Y80" t="s">
        <v>697</v>
      </c>
      <c r="Z80" t="s">
        <v>979</v>
      </c>
      <c r="AA80" t="s">
        <v>697</v>
      </c>
      <c r="AB80" t="s">
        <v>980</v>
      </c>
      <c r="AC80" t="s">
        <v>981</v>
      </c>
      <c r="AD80" t="s">
        <v>982</v>
      </c>
      <c r="AE80" t="s">
        <v>728</v>
      </c>
      <c r="AF80" t="s">
        <v>983</v>
      </c>
      <c r="AG80" t="s">
        <v>869</v>
      </c>
      <c r="AK80" t="s">
        <v>632</v>
      </c>
      <c r="AL80" t="s">
        <v>731</v>
      </c>
      <c r="AM80" t="s">
        <v>168</v>
      </c>
      <c r="AN80" t="s">
        <v>984</v>
      </c>
      <c r="AP80" t="s">
        <v>613</v>
      </c>
      <c r="AR80" s="46">
        <v>0</v>
      </c>
      <c r="AS80" s="46">
        <v>0</v>
      </c>
      <c r="AT80" s="46">
        <v>0</v>
      </c>
      <c r="AU80" t="s">
        <v>148</v>
      </c>
      <c r="AV80" t="s">
        <v>83</v>
      </c>
      <c r="AY80" t="s">
        <v>614</v>
      </c>
      <c r="BA80" s="53">
        <v>119</v>
      </c>
    </row>
    <row r="81" spans="1:53">
      <c r="A81" t="s">
        <v>1101</v>
      </c>
      <c r="D81" t="s">
        <v>528</v>
      </c>
      <c r="E81" t="s">
        <v>859</v>
      </c>
      <c r="F81" s="2">
        <v>41579</v>
      </c>
      <c r="G81" s="2">
        <v>42137</v>
      </c>
      <c r="H81" s="2">
        <v>42096</v>
      </c>
      <c r="I81" s="2">
        <v>41767</v>
      </c>
      <c r="J81" t="s">
        <v>248</v>
      </c>
      <c r="K81" s="2">
        <v>41760</v>
      </c>
      <c r="L81" s="1">
        <v>107</v>
      </c>
      <c r="N81" t="s">
        <v>160</v>
      </c>
      <c r="P81" t="s">
        <v>985</v>
      </c>
      <c r="Q81" t="s">
        <v>850</v>
      </c>
      <c r="R81" t="s">
        <v>850</v>
      </c>
      <c r="S81" t="s">
        <v>851</v>
      </c>
      <c r="T81" t="s">
        <v>852</v>
      </c>
      <c r="U81" t="s">
        <v>522</v>
      </c>
      <c r="V81" s="1">
        <v>0</v>
      </c>
      <c r="X81" t="s">
        <v>986</v>
      </c>
      <c r="Y81" t="s">
        <v>441</v>
      </c>
      <c r="Z81" t="s">
        <v>442</v>
      </c>
      <c r="AA81" t="s">
        <v>448</v>
      </c>
      <c r="AB81" t="s">
        <v>361</v>
      </c>
      <c r="AC81" t="s">
        <v>444</v>
      </c>
      <c r="AD81" t="s">
        <v>445</v>
      </c>
      <c r="AE81" t="s">
        <v>446</v>
      </c>
      <c r="AF81" t="s">
        <v>447</v>
      </c>
      <c r="AG81" t="s">
        <v>443</v>
      </c>
      <c r="AH81" s="50">
        <v>500000</v>
      </c>
      <c r="AI81" s="50">
        <v>370000</v>
      </c>
      <c r="AK81" t="s">
        <v>812</v>
      </c>
      <c r="AM81" t="s">
        <v>663</v>
      </c>
      <c r="AN81" t="s">
        <v>143</v>
      </c>
      <c r="AP81" t="s">
        <v>613</v>
      </c>
      <c r="AQ81" s="50">
        <v>0</v>
      </c>
      <c r="AR81" s="50">
        <v>0</v>
      </c>
      <c r="AS81" s="50">
        <v>0</v>
      </c>
      <c r="AT81" s="50">
        <v>370000</v>
      </c>
      <c r="AU81" t="s">
        <v>186</v>
      </c>
      <c r="AV81" t="s">
        <v>82</v>
      </c>
      <c r="AY81" t="s">
        <v>614</v>
      </c>
      <c r="BA81" s="53">
        <v>154</v>
      </c>
    </row>
    <row r="82" spans="1:53">
      <c r="A82" t="s">
        <v>1101</v>
      </c>
      <c r="D82" t="s">
        <v>126</v>
      </c>
      <c r="E82" t="s">
        <v>806</v>
      </c>
      <c r="F82" s="2">
        <v>41579</v>
      </c>
      <c r="G82" s="2">
        <v>41989</v>
      </c>
      <c r="H82" s="2">
        <v>41948</v>
      </c>
      <c r="I82" s="2">
        <v>41781</v>
      </c>
      <c r="J82" t="s">
        <v>112</v>
      </c>
      <c r="K82" s="2">
        <v>41760</v>
      </c>
      <c r="L82" s="1">
        <v>112</v>
      </c>
      <c r="N82" t="s">
        <v>160</v>
      </c>
      <c r="P82" t="s">
        <v>924</v>
      </c>
      <c r="Q82" t="s">
        <v>895</v>
      </c>
      <c r="R82" t="s">
        <v>895</v>
      </c>
      <c r="S82" t="s">
        <v>809</v>
      </c>
      <c r="T82" t="s">
        <v>897</v>
      </c>
      <c r="U82" t="s">
        <v>529</v>
      </c>
      <c r="V82" s="1">
        <v>0</v>
      </c>
      <c r="X82" t="s">
        <v>925</v>
      </c>
      <c r="Y82" t="s">
        <v>389</v>
      </c>
      <c r="Z82" t="s">
        <v>390</v>
      </c>
      <c r="AA82" t="s">
        <v>394</v>
      </c>
      <c r="AB82" t="s">
        <v>389</v>
      </c>
      <c r="AC82" t="s">
        <v>333</v>
      </c>
      <c r="AD82" t="s">
        <v>391</v>
      </c>
      <c r="AE82" t="s">
        <v>392</v>
      </c>
      <c r="AF82" t="s">
        <v>393</v>
      </c>
      <c r="AG82" t="s">
        <v>374</v>
      </c>
      <c r="AH82" s="50">
        <v>522000</v>
      </c>
      <c r="AI82" s="50">
        <v>431000</v>
      </c>
      <c r="AK82" t="s">
        <v>812</v>
      </c>
      <c r="AM82" t="s">
        <v>663</v>
      </c>
      <c r="AN82" t="s">
        <v>143</v>
      </c>
      <c r="AP82" t="s">
        <v>613</v>
      </c>
      <c r="AQ82" s="50">
        <v>0</v>
      </c>
      <c r="AR82" s="50">
        <v>0</v>
      </c>
      <c r="AS82" s="50">
        <v>0</v>
      </c>
      <c r="AT82" s="50">
        <v>431000</v>
      </c>
      <c r="AU82" t="s">
        <v>186</v>
      </c>
      <c r="AV82" t="s">
        <v>83</v>
      </c>
      <c r="AY82" t="s">
        <v>614</v>
      </c>
      <c r="BA82" s="53">
        <v>142</v>
      </c>
    </row>
    <row r="83" spans="1:53">
      <c r="A83" t="s">
        <v>1101</v>
      </c>
      <c r="D83" t="s">
        <v>620</v>
      </c>
      <c r="E83" t="s">
        <v>561</v>
      </c>
      <c r="F83" s="2">
        <v>41651</v>
      </c>
      <c r="J83" t="s">
        <v>4</v>
      </c>
      <c r="K83" s="2">
        <v>42020</v>
      </c>
      <c r="L83" s="1">
        <v>59</v>
      </c>
      <c r="N83" t="s">
        <v>154</v>
      </c>
      <c r="P83" t="s">
        <v>926</v>
      </c>
      <c r="Q83" t="s">
        <v>695</v>
      </c>
      <c r="R83" t="s">
        <v>256</v>
      </c>
      <c r="T83" t="s">
        <v>696</v>
      </c>
      <c r="U83" t="s">
        <v>522</v>
      </c>
      <c r="V83" s="1">
        <v>0</v>
      </c>
      <c r="AK83" t="s">
        <v>632</v>
      </c>
      <c r="AL83" t="s">
        <v>168</v>
      </c>
      <c r="AM83" t="s">
        <v>168</v>
      </c>
      <c r="AN83" t="s">
        <v>143</v>
      </c>
      <c r="AP83" t="s">
        <v>613</v>
      </c>
      <c r="AR83" s="50">
        <v>0</v>
      </c>
      <c r="AS83" s="50">
        <v>0</v>
      </c>
      <c r="AT83" s="50">
        <v>0</v>
      </c>
      <c r="AU83" t="s">
        <v>142</v>
      </c>
      <c r="AV83" t="s">
        <v>83</v>
      </c>
      <c r="AY83" t="s">
        <v>614</v>
      </c>
      <c r="BA83" s="53">
        <v>189</v>
      </c>
    </row>
    <row r="84" spans="1:53">
      <c r="A84" t="s">
        <v>1101</v>
      </c>
      <c r="D84" t="s">
        <v>620</v>
      </c>
      <c r="E84" t="s">
        <v>561</v>
      </c>
      <c r="F84" s="2">
        <v>41652</v>
      </c>
      <c r="J84" t="s">
        <v>112</v>
      </c>
      <c r="K84" s="2">
        <v>42020</v>
      </c>
      <c r="L84" s="1">
        <v>60</v>
      </c>
      <c r="N84" t="s">
        <v>154</v>
      </c>
      <c r="P84" t="s">
        <v>294</v>
      </c>
      <c r="Q84" t="s">
        <v>622</v>
      </c>
      <c r="R84" t="s">
        <v>794</v>
      </c>
      <c r="T84" t="s">
        <v>623</v>
      </c>
      <c r="U84" t="s">
        <v>522</v>
      </c>
      <c r="V84" s="1">
        <v>0</v>
      </c>
      <c r="AK84" t="s">
        <v>632</v>
      </c>
      <c r="AL84" t="s">
        <v>774</v>
      </c>
      <c r="AM84" t="s">
        <v>168</v>
      </c>
      <c r="AN84" t="s">
        <v>143</v>
      </c>
      <c r="AP84" t="s">
        <v>613</v>
      </c>
      <c r="AR84" s="50">
        <v>0</v>
      </c>
      <c r="AS84" s="50">
        <v>0</v>
      </c>
      <c r="AT84" s="50">
        <v>0</v>
      </c>
      <c r="AU84" t="s">
        <v>142</v>
      </c>
      <c r="AV84" t="s">
        <v>83</v>
      </c>
      <c r="AY84" t="s">
        <v>614</v>
      </c>
      <c r="BA84" s="53">
        <v>185</v>
      </c>
    </row>
    <row r="85" spans="1:53">
      <c r="A85" t="s">
        <v>168</v>
      </c>
      <c r="B85" s="2">
        <v>41718</v>
      </c>
      <c r="C85" s="2">
        <v>41792</v>
      </c>
      <c r="D85" t="s">
        <v>620</v>
      </c>
      <c r="E85" t="s">
        <v>561</v>
      </c>
      <c r="F85" s="2">
        <v>41717</v>
      </c>
      <c r="G85" s="2">
        <v>41998</v>
      </c>
      <c r="H85" s="2">
        <v>41957</v>
      </c>
      <c r="I85" s="2">
        <v>41730</v>
      </c>
      <c r="J85" t="s">
        <v>561</v>
      </c>
      <c r="K85" s="2">
        <v>41718</v>
      </c>
      <c r="L85" s="1">
        <v>82</v>
      </c>
      <c r="M85" s="1">
        <v>65</v>
      </c>
      <c r="N85" t="s">
        <v>313</v>
      </c>
      <c r="P85" t="s">
        <v>871</v>
      </c>
      <c r="Q85" t="s">
        <v>720</v>
      </c>
      <c r="R85" t="s">
        <v>744</v>
      </c>
      <c r="S85" t="s">
        <v>872</v>
      </c>
      <c r="T85" t="s">
        <v>696</v>
      </c>
      <c r="U85" t="s">
        <v>522</v>
      </c>
      <c r="V85" s="1">
        <v>0</v>
      </c>
      <c r="X85" t="s">
        <v>873</v>
      </c>
      <c r="Y85" t="s">
        <v>625</v>
      </c>
      <c r="Z85" t="s">
        <v>874</v>
      </c>
      <c r="AA85" t="s">
        <v>625</v>
      </c>
      <c r="AB85" t="s">
        <v>875</v>
      </c>
      <c r="AC85" t="s">
        <v>876</v>
      </c>
      <c r="AD85" t="s">
        <v>750</v>
      </c>
      <c r="AE85" t="s">
        <v>629</v>
      </c>
      <c r="AF85" t="s">
        <v>630</v>
      </c>
      <c r="AG85" t="s">
        <v>877</v>
      </c>
      <c r="AK85" t="s">
        <v>632</v>
      </c>
      <c r="AL85" t="s">
        <v>168</v>
      </c>
      <c r="AM85" t="s">
        <v>168</v>
      </c>
      <c r="AN85" t="s">
        <v>143</v>
      </c>
      <c r="AP85" t="s">
        <v>613</v>
      </c>
      <c r="AR85" s="50">
        <v>0</v>
      </c>
      <c r="AS85" s="50">
        <v>0</v>
      </c>
      <c r="AT85" s="50">
        <v>0</v>
      </c>
      <c r="AU85" t="s">
        <v>148</v>
      </c>
      <c r="AV85" t="s">
        <v>83</v>
      </c>
      <c r="AY85" t="s">
        <v>614</v>
      </c>
      <c r="BA85" s="53">
        <v>123</v>
      </c>
    </row>
    <row r="86" spans="1:53">
      <c r="A86" t="s">
        <v>1101</v>
      </c>
      <c r="D86" t="s">
        <v>112</v>
      </c>
      <c r="E86" t="s">
        <v>806</v>
      </c>
      <c r="F86" s="2">
        <v>41579</v>
      </c>
      <c r="G86" s="2">
        <v>41914</v>
      </c>
      <c r="H86" s="2">
        <v>41873</v>
      </c>
      <c r="I86" s="2">
        <v>41764</v>
      </c>
      <c r="J86" t="s">
        <v>112</v>
      </c>
      <c r="K86" s="2">
        <v>41760</v>
      </c>
      <c r="L86" s="1">
        <v>106</v>
      </c>
      <c r="N86" t="s">
        <v>160</v>
      </c>
      <c r="P86" t="s">
        <v>878</v>
      </c>
      <c r="Q86" t="s">
        <v>808</v>
      </c>
      <c r="R86" t="s">
        <v>808</v>
      </c>
      <c r="S86" t="s">
        <v>809</v>
      </c>
      <c r="T86" t="s">
        <v>810</v>
      </c>
      <c r="U86" t="s">
        <v>529</v>
      </c>
      <c r="V86" s="1">
        <v>0</v>
      </c>
      <c r="X86" t="s">
        <v>879</v>
      </c>
      <c r="Y86" t="s">
        <v>358</v>
      </c>
      <c r="Z86" t="s">
        <v>359</v>
      </c>
      <c r="AA86" t="s">
        <v>365</v>
      </c>
      <c r="AB86" t="s">
        <v>361</v>
      </c>
      <c r="AC86" t="s">
        <v>362</v>
      </c>
      <c r="AD86" t="s">
        <v>148</v>
      </c>
      <c r="AE86" t="s">
        <v>363</v>
      </c>
      <c r="AF86" t="s">
        <v>364</v>
      </c>
      <c r="AG86" t="s">
        <v>360</v>
      </c>
      <c r="AH86" s="50">
        <v>400000</v>
      </c>
      <c r="AI86" s="50">
        <v>230000</v>
      </c>
      <c r="AK86" t="s">
        <v>812</v>
      </c>
      <c r="AM86" t="s">
        <v>663</v>
      </c>
      <c r="AN86" t="s">
        <v>143</v>
      </c>
      <c r="AP86" t="s">
        <v>613</v>
      </c>
      <c r="AQ86" s="50">
        <v>0</v>
      </c>
      <c r="AR86" s="50">
        <v>0</v>
      </c>
      <c r="AS86" s="50">
        <v>0</v>
      </c>
      <c r="AT86" s="50">
        <v>230000</v>
      </c>
      <c r="AU86" t="s">
        <v>186</v>
      </c>
      <c r="AV86" t="s">
        <v>82</v>
      </c>
      <c r="AY86" t="s">
        <v>614</v>
      </c>
      <c r="BA86" s="53">
        <v>160</v>
      </c>
    </row>
    <row r="87" spans="1:53">
      <c r="A87" t="s">
        <v>168</v>
      </c>
      <c r="B87" s="2">
        <v>41718</v>
      </c>
      <c r="C87" s="2">
        <v>41701</v>
      </c>
      <c r="D87" t="s">
        <v>620</v>
      </c>
      <c r="E87" t="s">
        <v>561</v>
      </c>
      <c r="F87" s="2">
        <v>41608</v>
      </c>
      <c r="G87" s="2">
        <v>41907</v>
      </c>
      <c r="H87" s="2">
        <v>41866</v>
      </c>
      <c r="I87" s="2">
        <v>41673</v>
      </c>
      <c r="J87" t="s">
        <v>248</v>
      </c>
      <c r="K87" s="2">
        <v>41718</v>
      </c>
      <c r="L87" s="1">
        <v>63</v>
      </c>
      <c r="M87" s="1">
        <v>68</v>
      </c>
      <c r="N87" t="s">
        <v>313</v>
      </c>
      <c r="P87" t="s">
        <v>945</v>
      </c>
      <c r="Q87" t="s">
        <v>720</v>
      </c>
      <c r="R87" t="s">
        <v>158</v>
      </c>
      <c r="S87" t="s">
        <v>260</v>
      </c>
      <c r="T87" t="s">
        <v>696</v>
      </c>
      <c r="U87" t="s">
        <v>522</v>
      </c>
      <c r="V87" s="1">
        <v>0</v>
      </c>
      <c r="X87" t="s">
        <v>946</v>
      </c>
      <c r="Y87" t="s">
        <v>711</v>
      </c>
      <c r="Z87" t="s">
        <v>912</v>
      </c>
      <c r="AA87" t="s">
        <v>711</v>
      </c>
      <c r="AB87" t="s">
        <v>947</v>
      </c>
      <c r="AC87" t="s">
        <v>948</v>
      </c>
      <c r="AD87" t="s">
        <v>949</v>
      </c>
      <c r="AE87" t="s">
        <v>728</v>
      </c>
      <c r="AF87" t="s">
        <v>950</v>
      </c>
      <c r="AG87" t="s">
        <v>951</v>
      </c>
      <c r="AK87" t="s">
        <v>632</v>
      </c>
      <c r="AL87" t="s">
        <v>935</v>
      </c>
      <c r="AM87" t="s">
        <v>168</v>
      </c>
      <c r="AN87" t="s">
        <v>143</v>
      </c>
      <c r="AP87" t="s">
        <v>613</v>
      </c>
      <c r="AR87" s="50">
        <v>0</v>
      </c>
      <c r="AS87" s="50">
        <v>0</v>
      </c>
      <c r="AT87" s="50">
        <v>0</v>
      </c>
      <c r="AU87" t="s">
        <v>148</v>
      </c>
      <c r="AV87" t="s">
        <v>83</v>
      </c>
      <c r="AY87" t="s">
        <v>614</v>
      </c>
      <c r="BA87" s="53">
        <v>147</v>
      </c>
    </row>
    <row r="88" spans="1:53">
      <c r="A88" t="s">
        <v>171</v>
      </c>
      <c r="B88" s="2">
        <v>41746</v>
      </c>
      <c r="C88" s="2">
        <v>41519</v>
      </c>
      <c r="D88" t="s">
        <v>989</v>
      </c>
      <c r="E88" t="s">
        <v>532</v>
      </c>
      <c r="F88" s="2">
        <v>41579</v>
      </c>
      <c r="G88" s="2">
        <v>41999</v>
      </c>
      <c r="H88" s="2">
        <v>41999</v>
      </c>
      <c r="I88" s="2">
        <v>41519</v>
      </c>
      <c r="K88" s="2">
        <v>41746</v>
      </c>
      <c r="L88" s="1">
        <v>138</v>
      </c>
      <c r="M88" s="1">
        <v>87</v>
      </c>
      <c r="N88" t="s">
        <v>313</v>
      </c>
      <c r="P88" t="s">
        <v>1003</v>
      </c>
      <c r="Q88" t="s">
        <v>990</v>
      </c>
      <c r="R88" t="s">
        <v>1004</v>
      </c>
      <c r="S88" t="s">
        <v>172</v>
      </c>
      <c r="T88" t="s">
        <v>172</v>
      </c>
      <c r="V88" s="1">
        <v>0</v>
      </c>
      <c r="X88" t="s">
        <v>434</v>
      </c>
      <c r="Y88" t="s">
        <v>435</v>
      </c>
      <c r="Z88" t="s">
        <v>1005</v>
      </c>
      <c r="AA88" t="s">
        <v>436</v>
      </c>
      <c r="AB88" t="s">
        <v>437</v>
      </c>
      <c r="AC88" t="s">
        <v>346</v>
      </c>
      <c r="AD88" t="s">
        <v>1006</v>
      </c>
      <c r="AF88" t="s">
        <v>438</v>
      </c>
      <c r="AG88" t="s">
        <v>439</v>
      </c>
      <c r="AH88" s="50">
        <v>725000</v>
      </c>
      <c r="AI88" s="50">
        <v>500000</v>
      </c>
      <c r="AK88" t="s">
        <v>992</v>
      </c>
      <c r="AM88" t="s">
        <v>171</v>
      </c>
      <c r="AN88" t="s">
        <v>143</v>
      </c>
      <c r="AP88" t="s">
        <v>613</v>
      </c>
      <c r="AT88" s="50">
        <v>500000</v>
      </c>
      <c r="AU88" t="s">
        <v>148</v>
      </c>
      <c r="AV88" t="s">
        <v>83</v>
      </c>
      <c r="AY88" t="s">
        <v>614</v>
      </c>
      <c r="BA88" s="53">
        <v>136</v>
      </c>
    </row>
    <row r="89" spans="1:53">
      <c r="A89" t="s">
        <v>168</v>
      </c>
      <c r="B89" s="2">
        <v>41718</v>
      </c>
      <c r="C89" s="2">
        <v>41730</v>
      </c>
      <c r="D89" t="s">
        <v>620</v>
      </c>
      <c r="E89" t="s">
        <v>561</v>
      </c>
      <c r="F89" s="2">
        <v>41608</v>
      </c>
      <c r="G89" s="2">
        <v>41821</v>
      </c>
      <c r="H89" s="2">
        <v>41780</v>
      </c>
      <c r="I89" s="2">
        <v>41730</v>
      </c>
      <c r="J89" t="s">
        <v>532</v>
      </c>
      <c r="K89" s="2">
        <v>41718</v>
      </c>
      <c r="L89" s="1">
        <v>72</v>
      </c>
      <c r="M89" s="1">
        <v>55</v>
      </c>
      <c r="N89" t="s">
        <v>313</v>
      </c>
      <c r="P89" t="s">
        <v>327</v>
      </c>
      <c r="Q89" t="s">
        <v>622</v>
      </c>
      <c r="R89" t="s">
        <v>794</v>
      </c>
      <c r="S89" t="s">
        <v>157</v>
      </c>
      <c r="T89" t="s">
        <v>157</v>
      </c>
      <c r="U89" t="s">
        <v>570</v>
      </c>
      <c r="V89" s="1">
        <v>0</v>
      </c>
      <c r="X89" t="s">
        <v>917</v>
      </c>
      <c r="Y89" t="s">
        <v>723</v>
      </c>
      <c r="Z89" t="s">
        <v>863</v>
      </c>
      <c r="AA89" t="s">
        <v>723</v>
      </c>
      <c r="AB89" t="s">
        <v>918</v>
      </c>
      <c r="AC89" t="s">
        <v>919</v>
      </c>
      <c r="AD89" t="s">
        <v>920</v>
      </c>
      <c r="AE89" t="s">
        <v>728</v>
      </c>
      <c r="AF89" t="s">
        <v>921</v>
      </c>
      <c r="AG89" t="s">
        <v>730</v>
      </c>
      <c r="AK89" t="s">
        <v>632</v>
      </c>
      <c r="AL89" t="s">
        <v>174</v>
      </c>
      <c r="AM89" t="s">
        <v>168</v>
      </c>
      <c r="AN89" t="s">
        <v>143</v>
      </c>
      <c r="AP89" t="s">
        <v>613</v>
      </c>
      <c r="AR89" s="50">
        <v>0</v>
      </c>
      <c r="AS89" s="50">
        <v>0</v>
      </c>
      <c r="AT89" s="50">
        <v>0</v>
      </c>
      <c r="AU89" t="s">
        <v>148</v>
      </c>
      <c r="AV89" t="s">
        <v>83</v>
      </c>
      <c r="AY89" t="s">
        <v>614</v>
      </c>
      <c r="BA89" s="53">
        <v>157</v>
      </c>
    </row>
    <row r="90" spans="1:53">
      <c r="A90" t="s">
        <v>1101</v>
      </c>
      <c r="D90" t="s">
        <v>126</v>
      </c>
      <c r="E90" t="s">
        <v>848</v>
      </c>
      <c r="F90" s="2">
        <v>41579</v>
      </c>
      <c r="G90" s="2">
        <v>41978</v>
      </c>
      <c r="H90" s="2">
        <v>41939</v>
      </c>
      <c r="I90" s="2">
        <v>41772</v>
      </c>
      <c r="J90" t="s">
        <v>112</v>
      </c>
      <c r="K90" s="2">
        <v>41760</v>
      </c>
      <c r="L90" s="1">
        <v>111</v>
      </c>
      <c r="N90" t="s">
        <v>160</v>
      </c>
      <c r="P90" t="s">
        <v>922</v>
      </c>
      <c r="Q90" t="s">
        <v>895</v>
      </c>
      <c r="R90" t="s">
        <v>895</v>
      </c>
      <c r="S90" t="s">
        <v>809</v>
      </c>
      <c r="T90" t="s">
        <v>897</v>
      </c>
      <c r="U90" t="s">
        <v>522</v>
      </c>
      <c r="V90" s="1">
        <v>0</v>
      </c>
      <c r="X90" t="s">
        <v>923</v>
      </c>
      <c r="Y90" t="s">
        <v>389</v>
      </c>
      <c r="Z90" t="s">
        <v>468</v>
      </c>
      <c r="AA90" t="s">
        <v>469</v>
      </c>
      <c r="AB90" t="s">
        <v>389</v>
      </c>
      <c r="AC90" t="s">
        <v>333</v>
      </c>
      <c r="AD90" t="s">
        <v>391</v>
      </c>
      <c r="AE90" t="s">
        <v>392</v>
      </c>
      <c r="AF90" t="s">
        <v>393</v>
      </c>
      <c r="AG90" t="s">
        <v>374</v>
      </c>
      <c r="AH90" s="50">
        <v>722000</v>
      </c>
      <c r="AI90" s="50">
        <v>567000</v>
      </c>
      <c r="AK90" t="s">
        <v>812</v>
      </c>
      <c r="AM90" t="s">
        <v>663</v>
      </c>
      <c r="AN90" t="s">
        <v>143</v>
      </c>
      <c r="AP90" t="s">
        <v>613</v>
      </c>
      <c r="AQ90" s="50">
        <v>0</v>
      </c>
      <c r="AR90" s="50">
        <v>0</v>
      </c>
      <c r="AS90" s="50">
        <v>0</v>
      </c>
      <c r="AT90" s="50">
        <v>567000</v>
      </c>
      <c r="AU90" t="s">
        <v>186</v>
      </c>
      <c r="AV90" t="s">
        <v>83</v>
      </c>
      <c r="AY90" t="s">
        <v>614</v>
      </c>
      <c r="BA90" s="53">
        <v>150</v>
      </c>
    </row>
    <row r="91" spans="1:53">
      <c r="A91" t="s">
        <v>168</v>
      </c>
      <c r="B91" s="2">
        <v>41718</v>
      </c>
      <c r="C91" s="2">
        <v>41610</v>
      </c>
      <c r="D91" t="s">
        <v>620</v>
      </c>
      <c r="E91" t="s">
        <v>561</v>
      </c>
      <c r="F91" s="2">
        <v>41608</v>
      </c>
      <c r="G91" s="2">
        <v>41802</v>
      </c>
      <c r="H91" s="2">
        <v>41761</v>
      </c>
      <c r="I91" s="2">
        <v>41610</v>
      </c>
      <c r="J91" t="s">
        <v>532</v>
      </c>
      <c r="K91" s="2">
        <v>41718</v>
      </c>
      <c r="L91" s="1">
        <v>73</v>
      </c>
      <c r="M91" s="1">
        <v>57</v>
      </c>
      <c r="N91" t="s">
        <v>313</v>
      </c>
      <c r="P91" t="s">
        <v>952</v>
      </c>
      <c r="Q91" t="s">
        <v>695</v>
      </c>
      <c r="R91" t="s">
        <v>256</v>
      </c>
      <c r="S91" t="s">
        <v>157</v>
      </c>
      <c r="T91" t="s">
        <v>157</v>
      </c>
      <c r="U91" t="s">
        <v>562</v>
      </c>
      <c r="V91" s="1">
        <v>0</v>
      </c>
      <c r="X91" t="s">
        <v>953</v>
      </c>
      <c r="Y91" t="s">
        <v>954</v>
      </c>
      <c r="Z91" t="s">
        <v>955</v>
      </c>
      <c r="AA91" t="s">
        <v>954</v>
      </c>
      <c r="AB91" t="s">
        <v>956</v>
      </c>
      <c r="AC91" t="s">
        <v>957</v>
      </c>
      <c r="AD91" t="s">
        <v>958</v>
      </c>
      <c r="AE91" t="s">
        <v>716</v>
      </c>
      <c r="AF91" t="s">
        <v>959</v>
      </c>
      <c r="AG91" t="s">
        <v>960</v>
      </c>
      <c r="AK91" t="s">
        <v>632</v>
      </c>
      <c r="AL91" t="s">
        <v>961</v>
      </c>
      <c r="AM91" t="s">
        <v>168</v>
      </c>
      <c r="AN91" t="s">
        <v>143</v>
      </c>
      <c r="AP91" t="s">
        <v>613</v>
      </c>
      <c r="AR91" s="50">
        <v>0</v>
      </c>
      <c r="AS91" s="50">
        <v>0</v>
      </c>
      <c r="AT91" s="50">
        <v>0</v>
      </c>
      <c r="AU91" t="s">
        <v>148</v>
      </c>
      <c r="AV91" t="s">
        <v>83</v>
      </c>
      <c r="AY91" t="s">
        <v>614</v>
      </c>
      <c r="BA91" s="53">
        <v>118</v>
      </c>
    </row>
    <row r="92" spans="1:53">
      <c r="A92" t="s">
        <v>168</v>
      </c>
      <c r="B92" s="2">
        <v>41718</v>
      </c>
      <c r="C92" s="2">
        <v>41730</v>
      </c>
      <c r="D92" t="s">
        <v>620</v>
      </c>
      <c r="E92" t="s">
        <v>561</v>
      </c>
      <c r="F92" s="2">
        <v>41608</v>
      </c>
      <c r="G92" s="2">
        <v>41936</v>
      </c>
      <c r="H92" s="2">
        <v>41897</v>
      </c>
      <c r="I92" s="2">
        <v>41730</v>
      </c>
      <c r="J92" t="s">
        <v>248</v>
      </c>
      <c r="K92" s="2">
        <v>41718</v>
      </c>
      <c r="L92" s="1">
        <v>61</v>
      </c>
      <c r="M92" s="1">
        <v>66</v>
      </c>
      <c r="N92" t="s">
        <v>313</v>
      </c>
      <c r="P92" t="s">
        <v>927</v>
      </c>
      <c r="Q92" t="s">
        <v>720</v>
      </c>
      <c r="R92" t="s">
        <v>744</v>
      </c>
      <c r="S92" t="s">
        <v>928</v>
      </c>
      <c r="T92" t="s">
        <v>709</v>
      </c>
      <c r="U92" t="s">
        <v>522</v>
      </c>
      <c r="V92" s="1">
        <v>0</v>
      </c>
      <c r="X92" t="s">
        <v>929</v>
      </c>
      <c r="Y92" t="s">
        <v>862</v>
      </c>
      <c r="Z92" t="s">
        <v>930</v>
      </c>
      <c r="AA92" t="s">
        <v>862</v>
      </c>
      <c r="AB92" t="s">
        <v>931</v>
      </c>
      <c r="AC92" t="s">
        <v>932</v>
      </c>
      <c r="AD92" t="s">
        <v>933</v>
      </c>
      <c r="AE92" t="s">
        <v>728</v>
      </c>
      <c r="AF92" t="s">
        <v>934</v>
      </c>
      <c r="AG92" t="s">
        <v>834</v>
      </c>
      <c r="AK92" t="s">
        <v>632</v>
      </c>
      <c r="AL92" t="s">
        <v>935</v>
      </c>
      <c r="AM92" t="s">
        <v>168</v>
      </c>
      <c r="AN92" t="s">
        <v>143</v>
      </c>
      <c r="AP92" t="s">
        <v>613</v>
      </c>
      <c r="AR92" s="50">
        <v>0</v>
      </c>
      <c r="AS92" s="50">
        <v>0</v>
      </c>
      <c r="AT92" s="50">
        <v>0</v>
      </c>
      <c r="AU92" t="s">
        <v>148</v>
      </c>
      <c r="AV92" t="s">
        <v>83</v>
      </c>
      <c r="AY92" t="s">
        <v>614</v>
      </c>
      <c r="BA92" s="53">
        <v>117</v>
      </c>
    </row>
    <row r="93" spans="1:53">
      <c r="A93" t="s">
        <v>168</v>
      </c>
      <c r="B93" s="2">
        <v>41718</v>
      </c>
      <c r="C93" s="2">
        <v>41730</v>
      </c>
      <c r="D93" t="s">
        <v>620</v>
      </c>
      <c r="E93" t="s">
        <v>561</v>
      </c>
      <c r="F93" s="2">
        <v>41608</v>
      </c>
      <c r="G93" s="2">
        <v>41821</v>
      </c>
      <c r="H93" s="2">
        <v>41780</v>
      </c>
      <c r="I93" s="2">
        <v>41701</v>
      </c>
      <c r="J93" t="s">
        <v>112</v>
      </c>
      <c r="K93" s="2">
        <v>41718</v>
      </c>
      <c r="L93" s="1">
        <v>62</v>
      </c>
      <c r="M93" s="1">
        <v>67</v>
      </c>
      <c r="N93" t="s">
        <v>313</v>
      </c>
      <c r="P93" t="s">
        <v>936</v>
      </c>
      <c r="Q93" t="s">
        <v>622</v>
      </c>
      <c r="R93" t="s">
        <v>794</v>
      </c>
      <c r="S93" t="s">
        <v>302</v>
      </c>
      <c r="T93" t="s">
        <v>255</v>
      </c>
      <c r="U93" t="s">
        <v>522</v>
      </c>
      <c r="V93" s="1">
        <v>0</v>
      </c>
      <c r="X93" t="s">
        <v>937</v>
      </c>
      <c r="Y93" t="s">
        <v>697</v>
      </c>
      <c r="Z93" t="s">
        <v>938</v>
      </c>
      <c r="AA93" t="s">
        <v>697</v>
      </c>
      <c r="AB93" t="s">
        <v>939</v>
      </c>
      <c r="AC93" t="s">
        <v>940</v>
      </c>
      <c r="AD93" t="s">
        <v>941</v>
      </c>
      <c r="AE93" t="s">
        <v>728</v>
      </c>
      <c r="AF93" t="s">
        <v>942</v>
      </c>
      <c r="AG93" t="s">
        <v>943</v>
      </c>
      <c r="AK93" t="s">
        <v>632</v>
      </c>
      <c r="AL93" t="s">
        <v>944</v>
      </c>
      <c r="AM93" t="s">
        <v>168</v>
      </c>
      <c r="AN93" t="s">
        <v>143</v>
      </c>
      <c r="AP93" t="s">
        <v>613</v>
      </c>
      <c r="AR93" s="50">
        <v>0</v>
      </c>
      <c r="AS93" s="50">
        <v>0</v>
      </c>
      <c r="AT93" s="50">
        <v>0</v>
      </c>
      <c r="AU93" t="s">
        <v>148</v>
      </c>
      <c r="AV93" t="s">
        <v>83</v>
      </c>
      <c r="AY93" t="s">
        <v>614</v>
      </c>
      <c r="BA93" s="53">
        <v>130</v>
      </c>
    </row>
    <row r="94" spans="1:53">
      <c r="A94" t="s">
        <v>168</v>
      </c>
      <c r="B94" s="2">
        <v>41718</v>
      </c>
      <c r="C94" s="2">
        <v>41673</v>
      </c>
      <c r="D94" t="s">
        <v>620</v>
      </c>
      <c r="E94" t="s">
        <v>561</v>
      </c>
      <c r="F94" s="2">
        <v>41717</v>
      </c>
      <c r="G94" s="2">
        <v>41879</v>
      </c>
      <c r="H94" s="2">
        <v>41838</v>
      </c>
      <c r="I94" s="2">
        <v>41929</v>
      </c>
      <c r="J94" t="s">
        <v>561</v>
      </c>
      <c r="K94" s="2">
        <v>41718</v>
      </c>
      <c r="L94" s="1">
        <v>81</v>
      </c>
      <c r="M94" s="1">
        <v>70</v>
      </c>
      <c r="N94" t="s">
        <v>313</v>
      </c>
      <c r="P94" t="s">
        <v>908</v>
      </c>
      <c r="Q94" t="s">
        <v>720</v>
      </c>
      <c r="R94" t="s">
        <v>744</v>
      </c>
      <c r="S94" t="s">
        <v>909</v>
      </c>
      <c r="T94" t="s">
        <v>910</v>
      </c>
      <c r="U94" t="s">
        <v>529</v>
      </c>
      <c r="V94" s="1">
        <v>0</v>
      </c>
      <c r="X94" t="s">
        <v>911</v>
      </c>
      <c r="Y94" t="s">
        <v>711</v>
      </c>
      <c r="Z94" t="s">
        <v>912</v>
      </c>
      <c r="AA94" t="s">
        <v>711</v>
      </c>
      <c r="AB94" t="s">
        <v>913</v>
      </c>
      <c r="AC94" t="s">
        <v>914</v>
      </c>
      <c r="AD94" t="s">
        <v>915</v>
      </c>
      <c r="AE94" t="s">
        <v>728</v>
      </c>
      <c r="AF94" t="s">
        <v>916</v>
      </c>
      <c r="AG94" t="s">
        <v>766</v>
      </c>
      <c r="AK94" t="s">
        <v>632</v>
      </c>
      <c r="AL94" t="s">
        <v>168</v>
      </c>
      <c r="AM94" t="s">
        <v>168</v>
      </c>
      <c r="AN94" t="s">
        <v>143</v>
      </c>
      <c r="AP94" t="s">
        <v>613</v>
      </c>
      <c r="AR94" s="50">
        <v>0</v>
      </c>
      <c r="AS94" s="50">
        <v>0</v>
      </c>
      <c r="AT94" s="50">
        <v>0</v>
      </c>
      <c r="AU94" t="s">
        <v>148</v>
      </c>
      <c r="AV94" t="s">
        <v>83</v>
      </c>
      <c r="AY94" t="s">
        <v>614</v>
      </c>
      <c r="BA94" s="53">
        <v>154</v>
      </c>
    </row>
    <row r="95" spans="1:53">
      <c r="A95" t="s">
        <v>1101</v>
      </c>
      <c r="D95" t="s">
        <v>989</v>
      </c>
      <c r="E95" t="s">
        <v>532</v>
      </c>
      <c r="F95" s="2">
        <v>41579</v>
      </c>
      <c r="K95" s="2">
        <v>41978</v>
      </c>
      <c r="L95" s="1">
        <v>133</v>
      </c>
      <c r="N95" t="s">
        <v>154</v>
      </c>
      <c r="P95" t="s">
        <v>1106</v>
      </c>
      <c r="Q95" t="s">
        <v>990</v>
      </c>
      <c r="R95" t="s">
        <v>991</v>
      </c>
      <c r="S95" t="s">
        <v>172</v>
      </c>
      <c r="T95" t="s">
        <v>172</v>
      </c>
      <c r="V95" s="1">
        <v>0</v>
      </c>
      <c r="X95" t="s">
        <v>321</v>
      </c>
      <c r="Y95" t="s">
        <v>322</v>
      </c>
      <c r="Z95" t="s">
        <v>323</v>
      </c>
      <c r="AB95" t="s">
        <v>324</v>
      </c>
      <c r="AC95" t="s">
        <v>325</v>
      </c>
      <c r="AG95" t="s">
        <v>326</v>
      </c>
      <c r="AK95" t="s">
        <v>992</v>
      </c>
      <c r="AL95" t="s">
        <v>171</v>
      </c>
      <c r="AM95" t="s">
        <v>171</v>
      </c>
      <c r="AN95" t="s">
        <v>143</v>
      </c>
      <c r="AP95" t="s">
        <v>613</v>
      </c>
      <c r="AQ95" s="50">
        <v>0</v>
      </c>
      <c r="AR95" s="50">
        <v>0</v>
      </c>
      <c r="AS95" s="50">
        <v>0</v>
      </c>
      <c r="AT95" s="50">
        <v>0</v>
      </c>
      <c r="AU95" t="s">
        <v>142</v>
      </c>
      <c r="AV95" t="s">
        <v>83</v>
      </c>
      <c r="AY95" t="s">
        <v>614</v>
      </c>
      <c r="BA95" s="53">
        <v>128</v>
      </c>
    </row>
    <row r="96" spans="1:53">
      <c r="A96" t="s">
        <v>1101</v>
      </c>
      <c r="D96" t="s">
        <v>989</v>
      </c>
      <c r="E96" t="s">
        <v>532</v>
      </c>
      <c r="F96" s="2">
        <v>41579</v>
      </c>
      <c r="K96" s="2">
        <v>41740</v>
      </c>
      <c r="L96" s="1">
        <v>134</v>
      </c>
      <c r="N96" t="s">
        <v>154</v>
      </c>
      <c r="P96" t="s">
        <v>291</v>
      </c>
      <c r="Q96" t="s">
        <v>990</v>
      </c>
      <c r="R96" t="s">
        <v>991</v>
      </c>
      <c r="S96" t="s">
        <v>172</v>
      </c>
      <c r="T96" t="s">
        <v>172</v>
      </c>
      <c r="V96" s="1">
        <v>0</v>
      </c>
      <c r="X96" t="s">
        <v>292</v>
      </c>
      <c r="AH96" s="50">
        <v>2800000</v>
      </c>
      <c r="AI96" s="50">
        <v>554000</v>
      </c>
      <c r="AK96" t="s">
        <v>992</v>
      </c>
      <c r="AL96" t="s">
        <v>171</v>
      </c>
      <c r="AM96" t="s">
        <v>171</v>
      </c>
      <c r="AN96" t="s">
        <v>143</v>
      </c>
      <c r="AP96" t="s">
        <v>613</v>
      </c>
      <c r="AQ96" s="50">
        <v>0</v>
      </c>
      <c r="AR96" s="50">
        <v>0</v>
      </c>
      <c r="AS96" s="50">
        <v>0</v>
      </c>
      <c r="AT96" s="50">
        <v>554000</v>
      </c>
      <c r="AU96" t="s">
        <v>142</v>
      </c>
      <c r="AV96" t="s">
        <v>83</v>
      </c>
      <c r="AY96" t="s">
        <v>614</v>
      </c>
      <c r="BA96" s="53">
        <v>123</v>
      </c>
    </row>
    <row r="97" spans="1:53">
      <c r="A97" t="s">
        <v>1101</v>
      </c>
      <c r="D97" t="s">
        <v>989</v>
      </c>
      <c r="E97" t="s">
        <v>532</v>
      </c>
      <c r="F97" s="2">
        <v>41579</v>
      </c>
      <c r="K97" s="2">
        <v>41740</v>
      </c>
      <c r="L97" s="1">
        <v>132</v>
      </c>
      <c r="N97" t="s">
        <v>154</v>
      </c>
      <c r="P97" t="s">
        <v>173</v>
      </c>
      <c r="Q97" t="s">
        <v>990</v>
      </c>
      <c r="R97" t="s">
        <v>991</v>
      </c>
      <c r="S97" t="s">
        <v>172</v>
      </c>
      <c r="T97" t="s">
        <v>172</v>
      </c>
      <c r="V97" s="1">
        <v>0</v>
      </c>
      <c r="AH97" s="50">
        <v>3800000</v>
      </c>
      <c r="AI97" s="50">
        <v>554000</v>
      </c>
      <c r="AK97" t="s">
        <v>992</v>
      </c>
      <c r="AL97" t="s">
        <v>171</v>
      </c>
      <c r="AM97" t="s">
        <v>171</v>
      </c>
      <c r="AN97" t="s">
        <v>143</v>
      </c>
      <c r="AP97" t="s">
        <v>613</v>
      </c>
      <c r="AQ97" s="50">
        <v>0</v>
      </c>
      <c r="AR97" s="50">
        <v>0</v>
      </c>
      <c r="AS97" s="50">
        <v>0</v>
      </c>
      <c r="AT97" s="50">
        <v>554000</v>
      </c>
      <c r="AU97" t="s">
        <v>142</v>
      </c>
      <c r="AV97" t="s">
        <v>83</v>
      </c>
      <c r="AY97" t="s">
        <v>614</v>
      </c>
      <c r="BA97" s="53">
        <v>140</v>
      </c>
    </row>
    <row r="98" spans="1:53">
      <c r="A98" t="s">
        <v>168</v>
      </c>
      <c r="B98" s="2">
        <v>42139</v>
      </c>
      <c r="C98" s="2">
        <v>41774</v>
      </c>
      <c r="D98" t="s">
        <v>620</v>
      </c>
      <c r="E98" t="s">
        <v>561</v>
      </c>
      <c r="F98" s="2">
        <v>41774</v>
      </c>
      <c r="G98" s="2">
        <v>41970</v>
      </c>
      <c r="H98" s="2">
        <v>41941</v>
      </c>
      <c r="J98" t="s">
        <v>249</v>
      </c>
      <c r="K98" s="2">
        <v>41774</v>
      </c>
      <c r="L98" s="1">
        <v>164</v>
      </c>
      <c r="M98" s="1">
        <v>111</v>
      </c>
      <c r="N98" t="s">
        <v>313</v>
      </c>
      <c r="P98" t="s">
        <v>1029</v>
      </c>
      <c r="Q98" t="s">
        <v>720</v>
      </c>
      <c r="R98" t="s">
        <v>744</v>
      </c>
      <c r="S98" t="s">
        <v>1026</v>
      </c>
      <c r="T98" t="s">
        <v>696</v>
      </c>
      <c r="U98" t="s">
        <v>522</v>
      </c>
      <c r="V98" s="1">
        <v>0</v>
      </c>
      <c r="AK98" t="s">
        <v>632</v>
      </c>
      <c r="AL98" t="s">
        <v>168</v>
      </c>
      <c r="AM98" t="s">
        <v>168</v>
      </c>
      <c r="AN98" t="s">
        <v>143</v>
      </c>
      <c r="AP98" t="s">
        <v>613</v>
      </c>
      <c r="AT98" s="50">
        <v>0</v>
      </c>
      <c r="AU98" t="s">
        <v>148</v>
      </c>
      <c r="AV98" t="s">
        <v>83</v>
      </c>
      <c r="AY98" t="s">
        <v>1027</v>
      </c>
      <c r="BA98" s="53">
        <v>196</v>
      </c>
    </row>
    <row r="99" spans="1:53">
      <c r="A99" t="s">
        <v>171</v>
      </c>
      <c r="B99" s="2">
        <v>41744</v>
      </c>
      <c r="C99" s="2">
        <v>41513</v>
      </c>
      <c r="D99" t="s">
        <v>989</v>
      </c>
      <c r="E99" t="s">
        <v>532</v>
      </c>
      <c r="F99" s="2">
        <v>41579</v>
      </c>
      <c r="G99" s="2">
        <v>41995</v>
      </c>
      <c r="H99" s="2">
        <v>41995</v>
      </c>
      <c r="I99" s="2">
        <v>41513</v>
      </c>
      <c r="J99" t="s">
        <v>575</v>
      </c>
      <c r="K99" s="2">
        <v>42017</v>
      </c>
      <c r="L99" s="1">
        <v>126</v>
      </c>
      <c r="M99" s="1">
        <v>82</v>
      </c>
      <c r="N99" t="s">
        <v>313</v>
      </c>
      <c r="P99" t="s">
        <v>1015</v>
      </c>
      <c r="Q99" t="s">
        <v>990</v>
      </c>
      <c r="R99" t="s">
        <v>1004</v>
      </c>
      <c r="S99" t="s">
        <v>172</v>
      </c>
      <c r="T99" t="s">
        <v>172</v>
      </c>
      <c r="U99" t="s">
        <v>529</v>
      </c>
      <c r="V99" s="1">
        <v>0</v>
      </c>
      <c r="X99" t="s">
        <v>315</v>
      </c>
      <c r="Y99" t="s">
        <v>317</v>
      </c>
      <c r="Z99" t="s">
        <v>1016</v>
      </c>
      <c r="AA99" t="s">
        <v>1017</v>
      </c>
      <c r="AB99" t="s">
        <v>1018</v>
      </c>
      <c r="AC99" t="s">
        <v>1019</v>
      </c>
      <c r="AD99" t="s">
        <v>316</v>
      </c>
      <c r="AE99" t="s">
        <v>1020</v>
      </c>
      <c r="AG99" t="s">
        <v>1107</v>
      </c>
      <c r="AH99" s="50">
        <v>5800000</v>
      </c>
      <c r="AI99" s="50">
        <v>400000</v>
      </c>
      <c r="AK99" t="s">
        <v>992</v>
      </c>
      <c r="AL99" t="s">
        <v>171</v>
      </c>
      <c r="AM99" t="s">
        <v>171</v>
      </c>
      <c r="AN99" t="s">
        <v>143</v>
      </c>
      <c r="AP99" t="s">
        <v>613</v>
      </c>
      <c r="AQ99" s="50">
        <v>0</v>
      </c>
      <c r="AR99" s="50">
        <v>0</v>
      </c>
      <c r="AS99" s="50">
        <v>0</v>
      </c>
      <c r="AT99" s="50">
        <v>400000</v>
      </c>
      <c r="AU99" t="s">
        <v>148</v>
      </c>
      <c r="AV99" t="s">
        <v>83</v>
      </c>
      <c r="AY99" t="s">
        <v>614</v>
      </c>
      <c r="BA99" s="53">
        <v>116</v>
      </c>
    </row>
    <row r="100" spans="1:53">
      <c r="A100" t="s">
        <v>171</v>
      </c>
      <c r="B100" s="2">
        <v>41750</v>
      </c>
      <c r="C100" s="2">
        <v>41548</v>
      </c>
      <c r="D100" t="s">
        <v>989</v>
      </c>
      <c r="E100" t="s">
        <v>532</v>
      </c>
      <c r="F100" s="2">
        <v>41579</v>
      </c>
      <c r="G100" s="2">
        <v>42030</v>
      </c>
      <c r="H100" s="2">
        <v>42030</v>
      </c>
      <c r="I100" s="2">
        <v>41548</v>
      </c>
      <c r="K100" s="2">
        <v>41750</v>
      </c>
      <c r="L100" s="1">
        <v>139</v>
      </c>
      <c r="M100" s="1">
        <v>88</v>
      </c>
      <c r="N100" t="s">
        <v>313</v>
      </c>
      <c r="P100" t="s">
        <v>1021</v>
      </c>
      <c r="Q100" t="s">
        <v>990</v>
      </c>
      <c r="R100" t="s">
        <v>1004</v>
      </c>
      <c r="S100" t="s">
        <v>172</v>
      </c>
      <c r="T100" t="s">
        <v>172</v>
      </c>
      <c r="V100" s="1">
        <v>0</v>
      </c>
      <c r="X100" t="s">
        <v>381</v>
      </c>
      <c r="Y100" t="s">
        <v>382</v>
      </c>
      <c r="Z100" t="s">
        <v>383</v>
      </c>
      <c r="AA100" t="s">
        <v>384</v>
      </c>
      <c r="AB100" t="s">
        <v>385</v>
      </c>
      <c r="AC100" t="s">
        <v>346</v>
      </c>
      <c r="AD100" t="s">
        <v>386</v>
      </c>
      <c r="AG100" t="s">
        <v>387</v>
      </c>
      <c r="AH100" s="50">
        <v>1000000</v>
      </c>
      <c r="AI100" s="50">
        <v>450000</v>
      </c>
      <c r="AK100" t="s">
        <v>992</v>
      </c>
      <c r="AM100" t="s">
        <v>171</v>
      </c>
      <c r="AN100" t="s">
        <v>143</v>
      </c>
      <c r="AP100" t="s">
        <v>613</v>
      </c>
      <c r="AT100" s="50">
        <v>450000</v>
      </c>
      <c r="AU100" t="s">
        <v>148</v>
      </c>
      <c r="AV100" t="s">
        <v>83</v>
      </c>
      <c r="AY100" t="s">
        <v>614</v>
      </c>
      <c r="BA100" s="53">
        <v>193</v>
      </c>
    </row>
    <row r="101" spans="1:53">
      <c r="A101" t="s">
        <v>1101</v>
      </c>
      <c r="D101" t="s">
        <v>989</v>
      </c>
      <c r="E101" t="s">
        <v>532</v>
      </c>
      <c r="F101" s="2">
        <v>41579</v>
      </c>
      <c r="K101" s="2">
        <v>41978</v>
      </c>
      <c r="L101" s="1">
        <v>140</v>
      </c>
      <c r="N101" t="s">
        <v>154</v>
      </c>
      <c r="P101" t="s">
        <v>1108</v>
      </c>
      <c r="Q101" t="s">
        <v>990</v>
      </c>
      <c r="R101" t="s">
        <v>991</v>
      </c>
      <c r="S101" t="s">
        <v>172</v>
      </c>
      <c r="T101" t="s">
        <v>172</v>
      </c>
      <c r="V101" s="1">
        <v>0</v>
      </c>
      <c r="X101" t="s">
        <v>328</v>
      </c>
      <c r="Y101" t="s">
        <v>329</v>
      </c>
      <c r="Z101" t="s">
        <v>330</v>
      </c>
      <c r="AG101" t="s">
        <v>331</v>
      </c>
      <c r="AK101" t="s">
        <v>992</v>
      </c>
      <c r="AM101" t="s">
        <v>171</v>
      </c>
      <c r="AN101" t="s">
        <v>143</v>
      </c>
      <c r="AP101" t="s">
        <v>613</v>
      </c>
      <c r="AQ101" s="50">
        <v>0</v>
      </c>
      <c r="AR101" s="50">
        <v>0</v>
      </c>
      <c r="AS101" s="50">
        <v>0</v>
      </c>
      <c r="AT101" s="50">
        <v>0</v>
      </c>
      <c r="AU101" t="s">
        <v>142</v>
      </c>
      <c r="AV101" t="s">
        <v>83</v>
      </c>
      <c r="AY101" t="s">
        <v>614</v>
      </c>
      <c r="BA101" s="53">
        <v>135</v>
      </c>
    </row>
    <row r="102" spans="1:53">
      <c r="A102" t="s">
        <v>1101</v>
      </c>
      <c r="D102" t="s">
        <v>989</v>
      </c>
      <c r="E102" t="s">
        <v>532</v>
      </c>
      <c r="F102" s="2">
        <v>41579</v>
      </c>
      <c r="K102" s="2">
        <v>41978</v>
      </c>
      <c r="L102" s="1">
        <v>145</v>
      </c>
      <c r="N102" t="s">
        <v>154</v>
      </c>
      <c r="P102" t="s">
        <v>1109</v>
      </c>
      <c r="Q102" t="s">
        <v>990</v>
      </c>
      <c r="R102" t="s">
        <v>991</v>
      </c>
      <c r="S102" t="s">
        <v>172</v>
      </c>
      <c r="T102" t="s">
        <v>172</v>
      </c>
      <c r="V102" s="1">
        <v>0</v>
      </c>
      <c r="X102" t="s">
        <v>321</v>
      </c>
      <c r="Y102" t="s">
        <v>322</v>
      </c>
      <c r="Z102" t="s">
        <v>323</v>
      </c>
      <c r="AB102" t="s">
        <v>476</v>
      </c>
      <c r="AC102" t="s">
        <v>477</v>
      </c>
      <c r="AG102" t="s">
        <v>478</v>
      </c>
      <c r="AH102" s="50">
        <v>1000000</v>
      </c>
      <c r="AI102" s="50">
        <v>250000</v>
      </c>
      <c r="AK102" t="s">
        <v>992</v>
      </c>
      <c r="AM102" t="s">
        <v>171</v>
      </c>
      <c r="AN102" t="s">
        <v>143</v>
      </c>
      <c r="AP102" t="s">
        <v>613</v>
      </c>
      <c r="AT102" s="50">
        <v>250000</v>
      </c>
      <c r="AU102" t="s">
        <v>142</v>
      </c>
      <c r="AV102" t="s">
        <v>83</v>
      </c>
      <c r="AY102" t="s">
        <v>614</v>
      </c>
      <c r="BA102" s="53">
        <v>105</v>
      </c>
    </row>
    <row r="103" spans="1:53">
      <c r="A103" t="s">
        <v>1101</v>
      </c>
      <c r="D103" t="s">
        <v>989</v>
      </c>
      <c r="E103" t="s">
        <v>532</v>
      </c>
      <c r="F103" s="2">
        <v>41579</v>
      </c>
      <c r="G103" s="2">
        <v>42664</v>
      </c>
      <c r="H103" s="2">
        <v>42664</v>
      </c>
      <c r="I103" s="2">
        <v>42058</v>
      </c>
      <c r="K103" s="2">
        <v>42018</v>
      </c>
      <c r="L103" s="1">
        <v>146</v>
      </c>
      <c r="N103" t="s">
        <v>160</v>
      </c>
      <c r="P103" t="s">
        <v>1110</v>
      </c>
      <c r="Q103" t="s">
        <v>990</v>
      </c>
      <c r="R103" t="s">
        <v>991</v>
      </c>
      <c r="S103" t="s">
        <v>172</v>
      </c>
      <c r="T103" t="s">
        <v>172</v>
      </c>
      <c r="V103" s="1">
        <v>0</v>
      </c>
      <c r="X103" t="s">
        <v>413</v>
      </c>
      <c r="Y103" t="s">
        <v>414</v>
      </c>
      <c r="Z103" t="s">
        <v>415</v>
      </c>
      <c r="AA103" t="s">
        <v>416</v>
      </c>
      <c r="AB103" t="s">
        <v>417</v>
      </c>
      <c r="AC103" t="s">
        <v>418</v>
      </c>
      <c r="AD103" t="s">
        <v>148</v>
      </c>
      <c r="AH103" s="50">
        <v>750000</v>
      </c>
      <c r="AI103" s="50">
        <v>350000</v>
      </c>
      <c r="AK103" t="s">
        <v>992</v>
      </c>
      <c r="AM103" t="s">
        <v>171</v>
      </c>
      <c r="AN103" t="s">
        <v>143</v>
      </c>
      <c r="AP103" t="s">
        <v>613</v>
      </c>
      <c r="AT103" s="50">
        <v>350000</v>
      </c>
      <c r="AU103" t="s">
        <v>186</v>
      </c>
      <c r="AV103" t="s">
        <v>82</v>
      </c>
      <c r="AY103" t="s">
        <v>614</v>
      </c>
      <c r="BA103" s="53">
        <v>181</v>
      </c>
    </row>
    <row r="104" spans="1:53">
      <c r="A104" t="s">
        <v>1101</v>
      </c>
      <c r="D104" t="s">
        <v>989</v>
      </c>
      <c r="E104" t="s">
        <v>532</v>
      </c>
      <c r="F104" s="2">
        <v>41579</v>
      </c>
      <c r="G104" s="2">
        <v>42552</v>
      </c>
      <c r="H104" s="2">
        <v>42552</v>
      </c>
      <c r="I104" s="2">
        <v>42065</v>
      </c>
      <c r="K104" s="2">
        <v>42018</v>
      </c>
      <c r="L104" s="1">
        <v>147</v>
      </c>
      <c r="N104" t="s">
        <v>160</v>
      </c>
      <c r="P104" t="s">
        <v>1111</v>
      </c>
      <c r="Q104" t="s">
        <v>990</v>
      </c>
      <c r="R104" t="s">
        <v>991</v>
      </c>
      <c r="S104" t="s">
        <v>172</v>
      </c>
      <c r="T104" t="s">
        <v>172</v>
      </c>
      <c r="V104" s="1">
        <v>0</v>
      </c>
      <c r="X104" t="s">
        <v>381</v>
      </c>
      <c r="Y104" t="s">
        <v>382</v>
      </c>
      <c r="Z104" t="s">
        <v>423</v>
      </c>
      <c r="AA104" t="s">
        <v>384</v>
      </c>
      <c r="AB104" t="s">
        <v>385</v>
      </c>
      <c r="AC104" t="s">
        <v>424</v>
      </c>
      <c r="AD104" t="s">
        <v>386</v>
      </c>
      <c r="AH104" s="50">
        <v>540000</v>
      </c>
      <c r="AI104" s="50">
        <v>125000</v>
      </c>
      <c r="AK104" t="s">
        <v>992</v>
      </c>
      <c r="AM104" t="s">
        <v>171</v>
      </c>
      <c r="AN104" t="s">
        <v>143</v>
      </c>
      <c r="AP104" t="s">
        <v>613</v>
      </c>
      <c r="AT104" s="50">
        <v>125000</v>
      </c>
      <c r="AU104" t="s">
        <v>186</v>
      </c>
      <c r="AV104" t="s">
        <v>82</v>
      </c>
      <c r="AY104" t="s">
        <v>614</v>
      </c>
      <c r="BA104" s="53">
        <v>155</v>
      </c>
    </row>
    <row r="105" spans="1:53">
      <c r="A105" t="s">
        <v>171</v>
      </c>
      <c r="B105" s="2">
        <v>41976</v>
      </c>
      <c r="C105" s="2">
        <v>41764</v>
      </c>
      <c r="D105" t="s">
        <v>989</v>
      </c>
      <c r="E105" t="s">
        <v>532</v>
      </c>
      <c r="F105" s="2">
        <v>41579</v>
      </c>
      <c r="G105" s="2">
        <v>42552</v>
      </c>
      <c r="H105" s="2">
        <v>42552</v>
      </c>
      <c r="I105" s="2">
        <v>41764</v>
      </c>
      <c r="K105" s="2">
        <v>41976</v>
      </c>
      <c r="L105" s="1">
        <v>128</v>
      </c>
      <c r="M105" s="1">
        <v>133</v>
      </c>
      <c r="N105" t="s">
        <v>313</v>
      </c>
      <c r="P105" t="s">
        <v>1112</v>
      </c>
      <c r="Q105" t="s">
        <v>990</v>
      </c>
      <c r="R105" t="s">
        <v>991</v>
      </c>
      <c r="S105" t="s">
        <v>172</v>
      </c>
      <c r="T105" t="s">
        <v>172</v>
      </c>
      <c r="V105" s="1">
        <v>0</v>
      </c>
      <c r="X105" t="s">
        <v>1113</v>
      </c>
      <c r="Y105" t="s">
        <v>1114</v>
      </c>
      <c r="Z105" t="s">
        <v>1115</v>
      </c>
      <c r="AB105" t="s">
        <v>1116</v>
      </c>
      <c r="AD105" t="s">
        <v>1117</v>
      </c>
      <c r="AF105" t="s">
        <v>1118</v>
      </c>
      <c r="AG105" t="s">
        <v>1119</v>
      </c>
      <c r="AH105" s="50">
        <v>6700000</v>
      </c>
      <c r="AI105" s="50">
        <v>500000</v>
      </c>
      <c r="AK105" t="s">
        <v>992</v>
      </c>
      <c r="AL105" t="s">
        <v>171</v>
      </c>
      <c r="AM105" t="s">
        <v>171</v>
      </c>
      <c r="AN105" t="s">
        <v>143</v>
      </c>
      <c r="AP105" t="s">
        <v>613</v>
      </c>
      <c r="AQ105" s="50">
        <v>0</v>
      </c>
      <c r="AR105" s="50">
        <v>0</v>
      </c>
      <c r="AS105" s="50">
        <v>0</v>
      </c>
      <c r="AT105" s="50">
        <v>500000</v>
      </c>
      <c r="AU105" t="s">
        <v>148</v>
      </c>
      <c r="AV105" t="s">
        <v>83</v>
      </c>
      <c r="AY105" t="s">
        <v>614</v>
      </c>
      <c r="BA105" s="53">
        <v>105</v>
      </c>
    </row>
    <row r="106" spans="1:53">
      <c r="A106" t="s">
        <v>171</v>
      </c>
      <c r="B106" s="2">
        <v>41981</v>
      </c>
      <c r="C106" s="2">
        <v>41764</v>
      </c>
      <c r="D106" t="s">
        <v>989</v>
      </c>
      <c r="E106" t="s">
        <v>532</v>
      </c>
      <c r="F106" s="2">
        <v>41579</v>
      </c>
      <c r="G106" s="2">
        <v>42286</v>
      </c>
      <c r="H106" s="2">
        <v>42286</v>
      </c>
      <c r="I106" s="2">
        <v>41764</v>
      </c>
      <c r="K106" s="2">
        <v>41981</v>
      </c>
      <c r="L106" s="1">
        <v>149</v>
      </c>
      <c r="M106" s="1">
        <v>134</v>
      </c>
      <c r="N106" t="s">
        <v>313</v>
      </c>
      <c r="P106" t="s">
        <v>1120</v>
      </c>
      <c r="Q106" t="s">
        <v>990</v>
      </c>
      <c r="R106" t="s">
        <v>1004</v>
      </c>
      <c r="S106" t="s">
        <v>172</v>
      </c>
      <c r="T106" t="s">
        <v>172</v>
      </c>
      <c r="V106" s="1">
        <v>0</v>
      </c>
      <c r="X106" t="s">
        <v>493</v>
      </c>
      <c r="Y106" t="s">
        <v>494</v>
      </c>
      <c r="Z106" t="s">
        <v>495</v>
      </c>
      <c r="AA106" t="s">
        <v>496</v>
      </c>
      <c r="AB106" t="s">
        <v>1121</v>
      </c>
      <c r="AG106" t="s">
        <v>1122</v>
      </c>
      <c r="AH106" s="50">
        <v>870000</v>
      </c>
      <c r="AI106" s="50">
        <v>340000</v>
      </c>
      <c r="AK106" t="s">
        <v>992</v>
      </c>
      <c r="AM106" t="s">
        <v>171</v>
      </c>
      <c r="AN106" t="s">
        <v>143</v>
      </c>
      <c r="AP106" t="s">
        <v>613</v>
      </c>
      <c r="AT106" s="50">
        <v>340000</v>
      </c>
      <c r="AU106" t="s">
        <v>148</v>
      </c>
      <c r="AV106" t="s">
        <v>83</v>
      </c>
      <c r="AY106" t="s">
        <v>614</v>
      </c>
      <c r="BA106" s="53">
        <v>189</v>
      </c>
    </row>
    <row r="107" spans="1:53">
      <c r="A107" t="s">
        <v>1101</v>
      </c>
      <c r="D107" t="s">
        <v>989</v>
      </c>
      <c r="E107" t="s">
        <v>532</v>
      </c>
      <c r="F107" s="2">
        <v>41579</v>
      </c>
      <c r="G107" s="2">
        <v>42984</v>
      </c>
      <c r="H107" s="2">
        <v>42984</v>
      </c>
      <c r="I107" s="2">
        <v>41744</v>
      </c>
      <c r="K107" s="2">
        <v>42011</v>
      </c>
      <c r="L107" s="1">
        <v>124</v>
      </c>
      <c r="N107" t="s">
        <v>160</v>
      </c>
      <c r="P107" t="s">
        <v>263</v>
      </c>
      <c r="Q107" t="s">
        <v>990</v>
      </c>
      <c r="R107" t="s">
        <v>991</v>
      </c>
      <c r="S107" t="s">
        <v>172</v>
      </c>
      <c r="T107" t="s">
        <v>172</v>
      </c>
      <c r="V107" s="1">
        <v>0</v>
      </c>
      <c r="AH107" s="50">
        <v>2300000</v>
      </c>
      <c r="AI107" s="50">
        <v>76000</v>
      </c>
      <c r="AK107" t="s">
        <v>992</v>
      </c>
      <c r="AL107" t="s">
        <v>171</v>
      </c>
      <c r="AM107" t="s">
        <v>171</v>
      </c>
      <c r="AN107" t="s">
        <v>143</v>
      </c>
      <c r="AP107" t="s">
        <v>613</v>
      </c>
      <c r="AT107" s="50">
        <v>76000</v>
      </c>
      <c r="AU107" t="s">
        <v>186</v>
      </c>
      <c r="AV107" t="s">
        <v>82</v>
      </c>
      <c r="AY107" t="s">
        <v>614</v>
      </c>
      <c r="BA107" s="53">
        <v>111</v>
      </c>
    </row>
    <row r="108" spans="1:53">
      <c r="A108" t="s">
        <v>168</v>
      </c>
      <c r="B108" s="2">
        <v>41774</v>
      </c>
      <c r="C108" s="2">
        <v>41409</v>
      </c>
      <c r="D108" t="s">
        <v>620</v>
      </c>
      <c r="E108" t="s">
        <v>561</v>
      </c>
      <c r="F108" s="2">
        <v>41774</v>
      </c>
      <c r="G108" s="2">
        <v>41605</v>
      </c>
      <c r="H108" s="2">
        <v>41576</v>
      </c>
      <c r="J108" t="s">
        <v>249</v>
      </c>
      <c r="K108" s="2">
        <v>41774</v>
      </c>
      <c r="L108" s="1">
        <v>161</v>
      </c>
      <c r="M108" s="1">
        <v>108</v>
      </c>
      <c r="N108" t="s">
        <v>313</v>
      </c>
      <c r="P108" t="s">
        <v>1025</v>
      </c>
      <c r="Q108" t="s">
        <v>720</v>
      </c>
      <c r="R108" t="s">
        <v>744</v>
      </c>
      <c r="S108" t="s">
        <v>1026</v>
      </c>
      <c r="T108" t="s">
        <v>696</v>
      </c>
      <c r="U108" t="s">
        <v>522</v>
      </c>
      <c r="V108" s="1">
        <v>0</v>
      </c>
      <c r="AK108" t="s">
        <v>632</v>
      </c>
      <c r="AL108" t="s">
        <v>168</v>
      </c>
      <c r="AM108" t="s">
        <v>168</v>
      </c>
      <c r="AN108" t="s">
        <v>143</v>
      </c>
      <c r="AP108" t="s">
        <v>613</v>
      </c>
      <c r="AT108" s="50">
        <v>0</v>
      </c>
      <c r="AU108" t="s">
        <v>148</v>
      </c>
      <c r="AV108" t="s">
        <v>83</v>
      </c>
      <c r="AY108" t="s">
        <v>1027</v>
      </c>
      <c r="BA108" s="53">
        <v>167</v>
      </c>
    </row>
    <row r="109" spans="1:53">
      <c r="A109" t="s">
        <v>168</v>
      </c>
      <c r="B109" s="2">
        <v>41773</v>
      </c>
      <c r="C109" s="2">
        <v>41548</v>
      </c>
      <c r="D109" t="s">
        <v>620</v>
      </c>
      <c r="E109" t="s">
        <v>561</v>
      </c>
      <c r="F109" s="2">
        <v>41773</v>
      </c>
      <c r="G109" s="2">
        <v>41646</v>
      </c>
      <c r="H109" s="2">
        <v>41617</v>
      </c>
      <c r="J109" t="s">
        <v>112</v>
      </c>
      <c r="K109" s="2">
        <v>41773</v>
      </c>
      <c r="L109" s="1">
        <v>160</v>
      </c>
      <c r="M109" s="1">
        <v>107</v>
      </c>
      <c r="N109" t="s">
        <v>313</v>
      </c>
      <c r="P109" t="s">
        <v>1028</v>
      </c>
      <c r="Q109" t="s">
        <v>622</v>
      </c>
      <c r="R109" t="s">
        <v>622</v>
      </c>
      <c r="S109" t="s">
        <v>735</v>
      </c>
      <c r="T109" t="s">
        <v>735</v>
      </c>
      <c r="U109" t="s">
        <v>522</v>
      </c>
      <c r="V109" s="1">
        <v>0</v>
      </c>
      <c r="AK109" t="s">
        <v>632</v>
      </c>
      <c r="AL109" t="s">
        <v>168</v>
      </c>
      <c r="AM109" t="s">
        <v>168</v>
      </c>
      <c r="AN109" t="s">
        <v>143</v>
      </c>
      <c r="AP109" t="s">
        <v>613</v>
      </c>
      <c r="AT109" s="50">
        <v>0</v>
      </c>
      <c r="AU109" t="s">
        <v>148</v>
      </c>
      <c r="AV109" t="s">
        <v>83</v>
      </c>
      <c r="BA109" s="53">
        <v>152</v>
      </c>
    </row>
    <row r="110" spans="1:53">
      <c r="A110" t="s">
        <v>171</v>
      </c>
      <c r="B110" s="2">
        <v>41765</v>
      </c>
      <c r="C110" s="2">
        <v>41463</v>
      </c>
      <c r="D110" t="s">
        <v>989</v>
      </c>
      <c r="E110" t="s">
        <v>532</v>
      </c>
      <c r="F110" s="2">
        <v>41579</v>
      </c>
      <c r="G110" s="2">
        <v>42125</v>
      </c>
      <c r="H110" s="2">
        <v>42125</v>
      </c>
      <c r="I110" s="2">
        <v>41463</v>
      </c>
      <c r="J110" t="s">
        <v>575</v>
      </c>
      <c r="K110" s="2">
        <v>41765</v>
      </c>
      <c r="L110" s="1">
        <v>143</v>
      </c>
      <c r="M110" s="1">
        <v>104</v>
      </c>
      <c r="N110" t="s">
        <v>313</v>
      </c>
      <c r="P110" t="s">
        <v>1024</v>
      </c>
      <c r="Q110" t="s">
        <v>990</v>
      </c>
      <c r="R110" t="s">
        <v>991</v>
      </c>
      <c r="S110" t="s">
        <v>172</v>
      </c>
      <c r="T110" t="s">
        <v>172</v>
      </c>
      <c r="U110" t="s">
        <v>570</v>
      </c>
      <c r="V110" s="1">
        <v>0</v>
      </c>
      <c r="X110" t="s">
        <v>479</v>
      </c>
      <c r="Y110" t="s">
        <v>480</v>
      </c>
      <c r="Z110" t="s">
        <v>148</v>
      </c>
      <c r="AB110" t="s">
        <v>481</v>
      </c>
      <c r="AD110" t="s">
        <v>482</v>
      </c>
      <c r="AF110" t="s">
        <v>483</v>
      </c>
      <c r="AG110" t="s">
        <v>484</v>
      </c>
      <c r="AH110" s="50">
        <v>652000</v>
      </c>
      <c r="AI110" s="50">
        <v>187000</v>
      </c>
      <c r="AK110" t="s">
        <v>992</v>
      </c>
      <c r="AM110" t="s">
        <v>171</v>
      </c>
      <c r="AN110" t="s">
        <v>143</v>
      </c>
      <c r="AP110" t="s">
        <v>613</v>
      </c>
      <c r="AT110" s="50">
        <v>187000</v>
      </c>
      <c r="AU110" t="s">
        <v>148</v>
      </c>
      <c r="AV110" t="s">
        <v>83</v>
      </c>
      <c r="AY110" t="s">
        <v>614</v>
      </c>
      <c r="BA110" s="53">
        <v>113</v>
      </c>
    </row>
    <row r="111" spans="1:53">
      <c r="A111" t="s">
        <v>1101</v>
      </c>
      <c r="D111" t="s">
        <v>112</v>
      </c>
      <c r="E111" t="s">
        <v>1011</v>
      </c>
      <c r="F111" s="2">
        <v>41579</v>
      </c>
      <c r="G111" s="2">
        <v>41886</v>
      </c>
      <c r="H111" s="2">
        <v>41845</v>
      </c>
      <c r="I111" s="2">
        <v>41764</v>
      </c>
      <c r="J111" t="s">
        <v>561</v>
      </c>
      <c r="K111" s="2">
        <v>41760</v>
      </c>
      <c r="L111" s="1">
        <v>101</v>
      </c>
      <c r="N111" t="s">
        <v>160</v>
      </c>
      <c r="P111" t="s">
        <v>1012</v>
      </c>
      <c r="Q111" t="s">
        <v>808</v>
      </c>
      <c r="R111" t="s">
        <v>1013</v>
      </c>
      <c r="S111" t="s">
        <v>809</v>
      </c>
      <c r="T111" t="s">
        <v>1007</v>
      </c>
      <c r="U111" t="s">
        <v>529</v>
      </c>
      <c r="V111" s="1">
        <v>0</v>
      </c>
      <c r="X111" t="s">
        <v>1014</v>
      </c>
      <c r="Y111" t="s">
        <v>349</v>
      </c>
      <c r="Z111" t="s">
        <v>350</v>
      </c>
      <c r="AA111" t="s">
        <v>356</v>
      </c>
      <c r="AB111" t="s">
        <v>352</v>
      </c>
      <c r="AC111" t="s">
        <v>353</v>
      </c>
      <c r="AD111" t="s">
        <v>148</v>
      </c>
      <c r="AE111" t="s">
        <v>354</v>
      </c>
      <c r="AF111" t="s">
        <v>355</v>
      </c>
      <c r="AG111" t="s">
        <v>351</v>
      </c>
      <c r="AH111" s="50">
        <v>500000</v>
      </c>
      <c r="AI111" s="50">
        <v>370000</v>
      </c>
      <c r="AK111" t="s">
        <v>812</v>
      </c>
      <c r="AM111" t="s">
        <v>663</v>
      </c>
      <c r="AN111" t="s">
        <v>143</v>
      </c>
      <c r="AP111" t="s">
        <v>613</v>
      </c>
      <c r="AT111" s="50">
        <v>370000</v>
      </c>
      <c r="AU111" t="s">
        <v>186</v>
      </c>
      <c r="AV111" t="s">
        <v>82</v>
      </c>
      <c r="AY111" t="s">
        <v>614</v>
      </c>
      <c r="BA111" s="53">
        <v>197</v>
      </c>
    </row>
    <row r="112" spans="1:53">
      <c r="A112" t="s">
        <v>168</v>
      </c>
      <c r="B112" s="2">
        <v>41718</v>
      </c>
      <c r="C112" s="2">
        <v>41701</v>
      </c>
      <c r="D112" t="s">
        <v>620</v>
      </c>
      <c r="E112" t="s">
        <v>561</v>
      </c>
      <c r="F112" s="2">
        <v>41608</v>
      </c>
      <c r="G112" s="2">
        <v>41907</v>
      </c>
      <c r="H112" s="2">
        <v>41866</v>
      </c>
      <c r="I112" s="2">
        <v>41673</v>
      </c>
      <c r="J112" t="s">
        <v>112</v>
      </c>
      <c r="K112" s="2">
        <v>41718</v>
      </c>
      <c r="L112" s="1">
        <v>75</v>
      </c>
      <c r="M112" s="1">
        <v>59</v>
      </c>
      <c r="N112" t="s">
        <v>313</v>
      </c>
      <c r="P112" t="s">
        <v>968</v>
      </c>
      <c r="Q112" t="s">
        <v>720</v>
      </c>
      <c r="R112" t="s">
        <v>158</v>
      </c>
      <c r="S112" t="s">
        <v>969</v>
      </c>
      <c r="T112" t="s">
        <v>157</v>
      </c>
      <c r="U112" t="s">
        <v>522</v>
      </c>
      <c r="V112" s="1">
        <v>0</v>
      </c>
      <c r="X112" t="s">
        <v>970</v>
      </c>
      <c r="Y112" t="s">
        <v>971</v>
      </c>
      <c r="Z112" t="s">
        <v>930</v>
      </c>
      <c r="AA112" t="s">
        <v>971</v>
      </c>
      <c r="AB112" t="s">
        <v>972</v>
      </c>
      <c r="AC112" t="s">
        <v>973</v>
      </c>
      <c r="AD112" t="s">
        <v>974</v>
      </c>
      <c r="AE112" t="s">
        <v>728</v>
      </c>
      <c r="AF112" t="s">
        <v>975</v>
      </c>
      <c r="AG112" t="s">
        <v>976</v>
      </c>
      <c r="AK112" t="s">
        <v>632</v>
      </c>
      <c r="AL112" t="s">
        <v>977</v>
      </c>
      <c r="AM112" t="s">
        <v>168</v>
      </c>
      <c r="AN112" t="s">
        <v>143</v>
      </c>
      <c r="AP112" t="s">
        <v>613</v>
      </c>
      <c r="AR112" s="50">
        <v>0</v>
      </c>
      <c r="AS112" s="50">
        <v>0</v>
      </c>
      <c r="AT112" s="50">
        <v>0</v>
      </c>
      <c r="AU112" t="s">
        <v>148</v>
      </c>
      <c r="AV112" t="s">
        <v>83</v>
      </c>
      <c r="AY112" t="s">
        <v>614</v>
      </c>
      <c r="BA112" s="53">
        <v>156</v>
      </c>
    </row>
    <row r="113" spans="1:53">
      <c r="A113" t="s">
        <v>663</v>
      </c>
      <c r="B113" s="2">
        <v>42020</v>
      </c>
      <c r="C113" s="2">
        <v>41989</v>
      </c>
      <c r="D113" t="s">
        <v>112</v>
      </c>
      <c r="E113" t="s">
        <v>806</v>
      </c>
      <c r="F113" s="2">
        <v>42020</v>
      </c>
      <c r="G113" s="2">
        <v>42537</v>
      </c>
      <c r="H113" s="2">
        <v>42173</v>
      </c>
      <c r="J113" t="s">
        <v>532</v>
      </c>
      <c r="K113" s="2">
        <v>42020</v>
      </c>
      <c r="L113" s="1">
        <v>193</v>
      </c>
      <c r="M113" s="1">
        <v>136</v>
      </c>
      <c r="N113" t="s">
        <v>313</v>
      </c>
      <c r="P113" t="s">
        <v>1123</v>
      </c>
      <c r="Q113" t="s">
        <v>808</v>
      </c>
      <c r="R113" t="s">
        <v>808</v>
      </c>
      <c r="S113" t="s">
        <v>1100</v>
      </c>
      <c r="T113" t="s">
        <v>810</v>
      </c>
      <c r="U113" t="s">
        <v>529</v>
      </c>
      <c r="V113" s="1">
        <v>0</v>
      </c>
      <c r="AK113" t="s">
        <v>812</v>
      </c>
      <c r="AL113" t="s">
        <v>663</v>
      </c>
      <c r="AM113" t="s">
        <v>663</v>
      </c>
      <c r="AN113" t="s">
        <v>143</v>
      </c>
      <c r="AP113" t="s">
        <v>613</v>
      </c>
      <c r="AT113" s="50">
        <v>0</v>
      </c>
      <c r="AU113" t="s">
        <v>148</v>
      </c>
      <c r="AV113" t="s">
        <v>83</v>
      </c>
      <c r="AY113" t="s">
        <v>614</v>
      </c>
      <c r="BA113" s="53">
        <v>184</v>
      </c>
    </row>
    <row r="114" spans="1:53">
      <c r="A114" t="s">
        <v>1101</v>
      </c>
      <c r="D114" t="s">
        <v>989</v>
      </c>
      <c r="E114" t="s">
        <v>532</v>
      </c>
      <c r="F114" s="2">
        <v>41579</v>
      </c>
      <c r="G114" s="2">
        <v>42251</v>
      </c>
      <c r="H114" s="2">
        <v>42251</v>
      </c>
      <c r="I114" s="2">
        <v>42072</v>
      </c>
      <c r="K114" s="2">
        <v>42018</v>
      </c>
      <c r="L114" s="1">
        <v>144</v>
      </c>
      <c r="N114" t="s">
        <v>160</v>
      </c>
      <c r="P114" t="s">
        <v>1124</v>
      </c>
      <c r="Q114" t="s">
        <v>990</v>
      </c>
      <c r="R114" t="s">
        <v>991</v>
      </c>
      <c r="S114" t="s">
        <v>172</v>
      </c>
      <c r="T114" t="s">
        <v>172</v>
      </c>
      <c r="V114" s="1">
        <v>0</v>
      </c>
      <c r="X114" t="s">
        <v>485</v>
      </c>
      <c r="Y114" t="s">
        <v>486</v>
      </c>
      <c r="Z114" t="s">
        <v>343</v>
      </c>
      <c r="AA114" t="s">
        <v>487</v>
      </c>
      <c r="AB114" t="s">
        <v>488</v>
      </c>
      <c r="AC114" t="s">
        <v>346</v>
      </c>
      <c r="AG114" t="s">
        <v>347</v>
      </c>
      <c r="AH114" s="50">
        <v>770000</v>
      </c>
      <c r="AI114" s="50">
        <v>350000</v>
      </c>
      <c r="AK114" t="s">
        <v>992</v>
      </c>
      <c r="AL114" t="s">
        <v>171</v>
      </c>
      <c r="AM114" t="s">
        <v>171</v>
      </c>
      <c r="AN114" t="s">
        <v>143</v>
      </c>
      <c r="AP114" t="s">
        <v>613</v>
      </c>
      <c r="AT114" s="50">
        <v>350000</v>
      </c>
      <c r="AU114" t="s">
        <v>186</v>
      </c>
      <c r="AV114" t="s">
        <v>82</v>
      </c>
      <c r="AX114" t="s">
        <v>1125</v>
      </c>
      <c r="AY114" t="s">
        <v>614</v>
      </c>
      <c r="AZ114" t="s">
        <v>16</v>
      </c>
      <c r="BA114" s="53">
        <v>121</v>
      </c>
    </row>
    <row r="115" spans="1:53">
      <c r="A115" t="s">
        <v>171</v>
      </c>
      <c r="B115" s="2">
        <v>41745</v>
      </c>
      <c r="C115" s="2">
        <v>41456</v>
      </c>
      <c r="D115" t="s">
        <v>989</v>
      </c>
      <c r="E115" t="s">
        <v>532</v>
      </c>
      <c r="F115" s="2">
        <v>41579</v>
      </c>
      <c r="G115" s="2">
        <v>42174</v>
      </c>
      <c r="H115" s="2">
        <v>42174</v>
      </c>
      <c r="I115" s="2">
        <v>41456</v>
      </c>
      <c r="K115" s="2">
        <v>41745</v>
      </c>
      <c r="L115" s="1">
        <v>136</v>
      </c>
      <c r="M115" s="1">
        <v>83</v>
      </c>
      <c r="N115" t="s">
        <v>313</v>
      </c>
      <c r="P115" t="s">
        <v>993</v>
      </c>
      <c r="Q115" t="s">
        <v>990</v>
      </c>
      <c r="R115" t="s">
        <v>991</v>
      </c>
      <c r="S115" t="s">
        <v>172</v>
      </c>
      <c r="T115" t="s">
        <v>172</v>
      </c>
      <c r="V115" s="1">
        <v>0</v>
      </c>
      <c r="X115" t="s">
        <v>341</v>
      </c>
      <c r="Y115" t="s">
        <v>342</v>
      </c>
      <c r="Z115" t="s">
        <v>344</v>
      </c>
      <c r="AA115" t="s">
        <v>343</v>
      </c>
      <c r="AB115" t="s">
        <v>345</v>
      </c>
      <c r="AC115" t="s">
        <v>346</v>
      </c>
      <c r="AD115" t="s">
        <v>994</v>
      </c>
      <c r="AF115" t="s">
        <v>995</v>
      </c>
      <c r="AG115" t="s">
        <v>347</v>
      </c>
      <c r="AH115" s="50">
        <v>700000</v>
      </c>
      <c r="AI115" s="50">
        <v>450000</v>
      </c>
      <c r="AK115" t="s">
        <v>992</v>
      </c>
      <c r="AL115" t="s">
        <v>171</v>
      </c>
      <c r="AM115" t="s">
        <v>171</v>
      </c>
      <c r="AN115" t="s">
        <v>143</v>
      </c>
      <c r="AP115" t="s">
        <v>613</v>
      </c>
      <c r="AT115" s="50">
        <v>450000</v>
      </c>
      <c r="AU115" t="s">
        <v>148</v>
      </c>
      <c r="AV115" t="s">
        <v>83</v>
      </c>
      <c r="AY115" t="s">
        <v>614</v>
      </c>
      <c r="BA115" s="53">
        <v>168</v>
      </c>
    </row>
    <row r="116" spans="1:53">
      <c r="A116" t="s">
        <v>663</v>
      </c>
      <c r="B116" s="2">
        <v>41757</v>
      </c>
      <c r="C116" s="2">
        <v>41708</v>
      </c>
      <c r="D116" t="s">
        <v>528</v>
      </c>
      <c r="E116" t="s">
        <v>859</v>
      </c>
      <c r="F116" s="2">
        <v>41579</v>
      </c>
      <c r="G116" s="2">
        <v>41936</v>
      </c>
      <c r="H116" s="2">
        <v>41897</v>
      </c>
      <c r="I116" s="2">
        <v>41745</v>
      </c>
      <c r="J116" t="s">
        <v>561</v>
      </c>
      <c r="K116" s="2">
        <v>41757</v>
      </c>
      <c r="L116" s="1">
        <v>115</v>
      </c>
      <c r="M116" s="1">
        <v>98</v>
      </c>
      <c r="N116" t="s">
        <v>313</v>
      </c>
      <c r="P116" t="s">
        <v>996</v>
      </c>
      <c r="Q116" t="s">
        <v>850</v>
      </c>
      <c r="R116" t="s">
        <v>850</v>
      </c>
      <c r="S116" t="s">
        <v>855</v>
      </c>
      <c r="T116" t="s">
        <v>856</v>
      </c>
      <c r="U116" t="s">
        <v>522</v>
      </c>
      <c r="V116" s="1">
        <v>0</v>
      </c>
      <c r="X116" t="s">
        <v>997</v>
      </c>
      <c r="Y116" t="s">
        <v>462</v>
      </c>
      <c r="Z116" t="s">
        <v>465</v>
      </c>
      <c r="AA116" t="s">
        <v>144</v>
      </c>
      <c r="AB116" t="s">
        <v>461</v>
      </c>
      <c r="AC116" t="s">
        <v>462</v>
      </c>
      <c r="AD116" t="s">
        <v>148</v>
      </c>
      <c r="AE116" t="s">
        <v>466</v>
      </c>
      <c r="AF116" t="s">
        <v>467</v>
      </c>
      <c r="AG116" t="s">
        <v>460</v>
      </c>
      <c r="AH116" s="50">
        <v>333000</v>
      </c>
      <c r="AI116" s="50">
        <v>237000</v>
      </c>
      <c r="AK116" t="s">
        <v>812</v>
      </c>
      <c r="AM116" t="s">
        <v>663</v>
      </c>
      <c r="AN116" t="s">
        <v>143</v>
      </c>
      <c r="AP116" t="s">
        <v>613</v>
      </c>
      <c r="AQ116" s="50">
        <v>0</v>
      </c>
      <c r="AR116" s="50">
        <v>0</v>
      </c>
      <c r="AS116" s="50">
        <v>0</v>
      </c>
      <c r="AT116" s="50">
        <v>237000</v>
      </c>
      <c r="AU116" t="s">
        <v>148</v>
      </c>
      <c r="AV116" t="s">
        <v>83</v>
      </c>
      <c r="AY116" t="s">
        <v>614</v>
      </c>
      <c r="BA116" s="53">
        <v>125</v>
      </c>
    </row>
    <row r="117" spans="1:53">
      <c r="A117" t="s">
        <v>168</v>
      </c>
      <c r="B117" s="2">
        <v>41718</v>
      </c>
      <c r="C117" s="2">
        <v>41730</v>
      </c>
      <c r="D117" t="s">
        <v>620</v>
      </c>
      <c r="E117" t="s">
        <v>561</v>
      </c>
      <c r="F117" s="2">
        <v>41717</v>
      </c>
      <c r="G117" s="2">
        <v>41936</v>
      </c>
      <c r="H117" s="2">
        <v>41897</v>
      </c>
      <c r="I117" s="2">
        <v>41730</v>
      </c>
      <c r="J117" t="s">
        <v>561</v>
      </c>
      <c r="K117" s="2">
        <v>41718</v>
      </c>
      <c r="L117" s="1">
        <v>80</v>
      </c>
      <c r="M117" s="1">
        <v>54</v>
      </c>
      <c r="N117" t="s">
        <v>313</v>
      </c>
      <c r="P117" t="s">
        <v>899</v>
      </c>
      <c r="Q117" t="s">
        <v>720</v>
      </c>
      <c r="R117" t="s">
        <v>744</v>
      </c>
      <c r="S117" t="s">
        <v>900</v>
      </c>
      <c r="T117" t="s">
        <v>820</v>
      </c>
      <c r="U117" t="s">
        <v>529</v>
      </c>
      <c r="V117" s="1">
        <v>0</v>
      </c>
      <c r="X117" t="s">
        <v>901</v>
      </c>
      <c r="Y117" t="s">
        <v>697</v>
      </c>
      <c r="Z117" t="s">
        <v>529</v>
      </c>
      <c r="AA117" t="s">
        <v>697</v>
      </c>
      <c r="AB117" t="s">
        <v>902</v>
      </c>
      <c r="AC117" t="s">
        <v>903</v>
      </c>
      <c r="AD117" t="s">
        <v>904</v>
      </c>
      <c r="AE117" t="s">
        <v>728</v>
      </c>
      <c r="AF117" t="s">
        <v>905</v>
      </c>
      <c r="AG117" t="s">
        <v>906</v>
      </c>
      <c r="AK117" t="s">
        <v>632</v>
      </c>
      <c r="AL117" t="s">
        <v>168</v>
      </c>
      <c r="AM117" t="s">
        <v>168</v>
      </c>
      <c r="AN117" t="s">
        <v>143</v>
      </c>
      <c r="AP117" t="s">
        <v>613</v>
      </c>
      <c r="AR117" s="50">
        <v>0</v>
      </c>
      <c r="AS117" s="50">
        <v>0</v>
      </c>
      <c r="AT117" s="50">
        <v>0</v>
      </c>
      <c r="AU117" t="s">
        <v>148</v>
      </c>
      <c r="AV117" t="s">
        <v>83</v>
      </c>
      <c r="AY117" t="s">
        <v>614</v>
      </c>
      <c r="BA117" s="53">
        <v>160</v>
      </c>
    </row>
    <row r="118" spans="1:53">
      <c r="A118" t="s">
        <v>168</v>
      </c>
      <c r="B118" s="2">
        <v>41718</v>
      </c>
      <c r="C118" s="2">
        <v>41760</v>
      </c>
      <c r="D118" t="s">
        <v>620</v>
      </c>
      <c r="E118" t="s">
        <v>561</v>
      </c>
      <c r="F118" s="2">
        <v>41718</v>
      </c>
      <c r="G118" s="2">
        <v>41956</v>
      </c>
      <c r="H118" s="2">
        <v>41927</v>
      </c>
      <c r="J118" t="s">
        <v>4</v>
      </c>
      <c r="K118" s="2">
        <v>41718</v>
      </c>
      <c r="L118" s="1">
        <v>91</v>
      </c>
      <c r="M118" s="1">
        <v>72</v>
      </c>
      <c r="N118" t="s">
        <v>313</v>
      </c>
      <c r="P118" t="s">
        <v>907</v>
      </c>
      <c r="Q118" t="s">
        <v>720</v>
      </c>
      <c r="R118" t="s">
        <v>744</v>
      </c>
      <c r="S118" t="s">
        <v>157</v>
      </c>
      <c r="T118" t="s">
        <v>157</v>
      </c>
      <c r="U118" t="s">
        <v>529</v>
      </c>
      <c r="V118" s="1">
        <v>0</v>
      </c>
      <c r="AK118" t="s">
        <v>632</v>
      </c>
      <c r="AL118" t="s">
        <v>168</v>
      </c>
      <c r="AM118" t="s">
        <v>168</v>
      </c>
      <c r="AN118" t="s">
        <v>143</v>
      </c>
      <c r="AP118" t="s">
        <v>613</v>
      </c>
      <c r="AT118" s="50">
        <v>0</v>
      </c>
      <c r="AU118" t="s">
        <v>148</v>
      </c>
      <c r="AV118" t="s">
        <v>82</v>
      </c>
      <c r="AY118" t="s">
        <v>614</v>
      </c>
      <c r="BA118" s="53">
        <v>188</v>
      </c>
    </row>
    <row r="119" spans="1:53">
      <c r="A119" t="s">
        <v>1101</v>
      </c>
      <c r="D119" t="s">
        <v>989</v>
      </c>
      <c r="E119" t="s">
        <v>532</v>
      </c>
      <c r="F119" s="2">
        <v>41579</v>
      </c>
      <c r="G119" s="2">
        <v>43326</v>
      </c>
      <c r="H119" s="2">
        <v>43326</v>
      </c>
      <c r="I119" s="2">
        <v>42086</v>
      </c>
      <c r="J119" t="s">
        <v>575</v>
      </c>
      <c r="K119" s="2">
        <v>42018</v>
      </c>
      <c r="L119" s="1">
        <v>118</v>
      </c>
      <c r="N119" t="s">
        <v>160</v>
      </c>
      <c r="P119" t="s">
        <v>272</v>
      </c>
      <c r="Q119" t="s">
        <v>990</v>
      </c>
      <c r="R119" t="s">
        <v>991</v>
      </c>
      <c r="S119" t="s">
        <v>172</v>
      </c>
      <c r="T119" t="s">
        <v>172</v>
      </c>
      <c r="U119" t="s">
        <v>529</v>
      </c>
      <c r="V119" s="1">
        <v>0</v>
      </c>
      <c r="X119" t="s">
        <v>1034</v>
      </c>
      <c r="Y119" t="s">
        <v>1035</v>
      </c>
      <c r="Z119" t="s">
        <v>1036</v>
      </c>
      <c r="AH119" s="50">
        <v>6200000</v>
      </c>
      <c r="AI119" s="50">
        <v>234000</v>
      </c>
      <c r="AK119" t="s">
        <v>992</v>
      </c>
      <c r="AL119" t="s">
        <v>171</v>
      </c>
      <c r="AM119" t="s">
        <v>171</v>
      </c>
      <c r="AN119" t="s">
        <v>143</v>
      </c>
      <c r="AP119" t="s">
        <v>613</v>
      </c>
      <c r="AT119" s="50">
        <v>234000</v>
      </c>
      <c r="AU119" t="s">
        <v>186</v>
      </c>
      <c r="AV119" t="s">
        <v>82</v>
      </c>
      <c r="AY119" t="s">
        <v>614</v>
      </c>
      <c r="BA119" s="53">
        <v>134</v>
      </c>
    </row>
    <row r="120" spans="1:53">
      <c r="A120" t="s">
        <v>1101</v>
      </c>
      <c r="D120" t="s">
        <v>251</v>
      </c>
      <c r="E120" t="s">
        <v>532</v>
      </c>
      <c r="F120" s="2">
        <v>41579</v>
      </c>
      <c r="G120" s="2">
        <v>42527</v>
      </c>
      <c r="H120" s="2">
        <v>42527</v>
      </c>
      <c r="I120" s="2">
        <v>42045</v>
      </c>
      <c r="J120" t="s">
        <v>248</v>
      </c>
      <c r="K120" s="2">
        <v>42018</v>
      </c>
      <c r="L120" s="1">
        <v>119</v>
      </c>
      <c r="N120" t="s">
        <v>154</v>
      </c>
      <c r="P120" t="s">
        <v>274</v>
      </c>
      <c r="Q120" t="s">
        <v>990</v>
      </c>
      <c r="R120" t="s">
        <v>1004</v>
      </c>
      <c r="S120" t="s">
        <v>172</v>
      </c>
      <c r="T120" t="s">
        <v>172</v>
      </c>
      <c r="U120" t="s">
        <v>109</v>
      </c>
      <c r="V120" s="1">
        <v>0</v>
      </c>
      <c r="AH120" s="50">
        <v>9800000</v>
      </c>
      <c r="AI120" s="50">
        <v>400000</v>
      </c>
      <c r="AK120" t="s">
        <v>992</v>
      </c>
      <c r="AL120" t="s">
        <v>171</v>
      </c>
      <c r="AM120" t="s">
        <v>171</v>
      </c>
      <c r="AN120" t="s">
        <v>143</v>
      </c>
      <c r="AP120" t="s">
        <v>613</v>
      </c>
      <c r="AT120" s="50">
        <v>400000</v>
      </c>
      <c r="AU120" t="s">
        <v>142</v>
      </c>
      <c r="AV120" t="s">
        <v>82</v>
      </c>
      <c r="AW120" t="s">
        <v>251</v>
      </c>
      <c r="AX120" t="s">
        <v>277</v>
      </c>
      <c r="AY120" t="s">
        <v>614</v>
      </c>
      <c r="BA120" s="53">
        <v>116</v>
      </c>
    </row>
    <row r="121" spans="1:53">
      <c r="A121" t="s">
        <v>171</v>
      </c>
      <c r="B121" s="2">
        <v>41767</v>
      </c>
      <c r="C121" s="2">
        <v>41395</v>
      </c>
      <c r="D121" t="s">
        <v>989</v>
      </c>
      <c r="E121" t="s">
        <v>532</v>
      </c>
      <c r="F121" s="2">
        <v>41579</v>
      </c>
      <c r="G121" s="2">
        <v>41786</v>
      </c>
      <c r="H121" s="2">
        <v>41786</v>
      </c>
      <c r="I121" s="2">
        <v>41395</v>
      </c>
      <c r="J121" t="s">
        <v>575</v>
      </c>
      <c r="K121" s="2">
        <v>41767</v>
      </c>
      <c r="L121" s="1">
        <v>142</v>
      </c>
      <c r="M121" s="1">
        <v>105</v>
      </c>
      <c r="N121" t="s">
        <v>313</v>
      </c>
      <c r="P121" t="s">
        <v>1023</v>
      </c>
      <c r="Q121" t="s">
        <v>990</v>
      </c>
      <c r="R121" t="s">
        <v>1004</v>
      </c>
      <c r="S121" t="s">
        <v>172</v>
      </c>
      <c r="T121" t="s">
        <v>172</v>
      </c>
      <c r="U121" t="s">
        <v>529</v>
      </c>
      <c r="V121" s="1">
        <v>0</v>
      </c>
      <c r="X121" t="s">
        <v>427</v>
      </c>
      <c r="Y121" t="s">
        <v>428</v>
      </c>
      <c r="Z121" t="s">
        <v>429</v>
      </c>
      <c r="AA121" t="s">
        <v>430</v>
      </c>
      <c r="AC121" t="s">
        <v>431</v>
      </c>
      <c r="AE121" t="s">
        <v>432</v>
      </c>
      <c r="AG121" t="s">
        <v>433</v>
      </c>
      <c r="AH121" s="50">
        <v>750000</v>
      </c>
      <c r="AI121" s="50">
        <v>400000</v>
      </c>
      <c r="AK121" t="s">
        <v>992</v>
      </c>
      <c r="AM121" t="s">
        <v>171</v>
      </c>
      <c r="AN121" t="s">
        <v>143</v>
      </c>
      <c r="AP121" t="s">
        <v>613</v>
      </c>
      <c r="AT121" s="50">
        <v>400000</v>
      </c>
      <c r="AU121" t="s">
        <v>148</v>
      </c>
      <c r="AV121" t="s">
        <v>83</v>
      </c>
      <c r="AY121" t="s">
        <v>614</v>
      </c>
      <c r="BA121" s="53">
        <v>126</v>
      </c>
    </row>
    <row r="122" spans="1:53">
      <c r="A122" t="s">
        <v>1101</v>
      </c>
      <c r="D122" t="s">
        <v>989</v>
      </c>
      <c r="E122" t="s">
        <v>532</v>
      </c>
      <c r="F122" s="2">
        <v>41579</v>
      </c>
      <c r="K122" s="2">
        <v>41740</v>
      </c>
      <c r="L122" s="1">
        <v>130</v>
      </c>
      <c r="N122" t="s">
        <v>154</v>
      </c>
      <c r="P122" t="s">
        <v>288</v>
      </c>
      <c r="Q122" t="s">
        <v>990</v>
      </c>
      <c r="R122" t="s">
        <v>991</v>
      </c>
      <c r="S122" t="s">
        <v>172</v>
      </c>
      <c r="T122" t="s">
        <v>172</v>
      </c>
      <c r="V122" s="1">
        <v>0</v>
      </c>
      <c r="X122" t="s">
        <v>289</v>
      </c>
      <c r="Y122" t="s">
        <v>290</v>
      </c>
      <c r="AH122" s="50">
        <v>8200000</v>
      </c>
      <c r="AI122" s="50">
        <v>510000</v>
      </c>
      <c r="AK122" t="s">
        <v>992</v>
      </c>
      <c r="AL122" t="s">
        <v>171</v>
      </c>
      <c r="AM122" t="s">
        <v>171</v>
      </c>
      <c r="AN122" t="s">
        <v>143</v>
      </c>
      <c r="AP122" t="s">
        <v>613</v>
      </c>
      <c r="AQ122" s="50">
        <v>0</v>
      </c>
      <c r="AR122" s="50">
        <v>0</v>
      </c>
      <c r="AS122" s="50">
        <v>0</v>
      </c>
      <c r="AT122" s="50">
        <v>510000</v>
      </c>
      <c r="AU122" t="s">
        <v>142</v>
      </c>
      <c r="AV122" t="s">
        <v>83</v>
      </c>
      <c r="AY122" t="s">
        <v>614</v>
      </c>
      <c r="BA122" s="53">
        <v>101</v>
      </c>
    </row>
    <row r="123" spans="1:53">
      <c r="A123" t="s">
        <v>663</v>
      </c>
      <c r="B123" s="2">
        <v>42019</v>
      </c>
      <c r="C123" s="2">
        <v>42002</v>
      </c>
      <c r="D123" t="s">
        <v>808</v>
      </c>
      <c r="E123" t="s">
        <v>561</v>
      </c>
      <c r="F123" s="2">
        <v>42019</v>
      </c>
      <c r="G123" s="2">
        <v>42695</v>
      </c>
      <c r="H123" s="2">
        <v>42331</v>
      </c>
      <c r="K123" s="2">
        <v>42019</v>
      </c>
      <c r="L123" s="1">
        <v>192</v>
      </c>
      <c r="M123" s="1">
        <v>135</v>
      </c>
      <c r="N123" t="s">
        <v>313</v>
      </c>
      <c r="P123" t="s">
        <v>1126</v>
      </c>
      <c r="Q123" t="s">
        <v>850</v>
      </c>
      <c r="R123" t="s">
        <v>850</v>
      </c>
      <c r="S123" t="s">
        <v>1127</v>
      </c>
      <c r="T123" t="s">
        <v>810</v>
      </c>
      <c r="U123" t="s">
        <v>522</v>
      </c>
      <c r="V123" s="1">
        <v>0</v>
      </c>
      <c r="AK123" t="s">
        <v>812</v>
      </c>
      <c r="AL123" t="s">
        <v>663</v>
      </c>
      <c r="AM123" t="s">
        <v>663</v>
      </c>
      <c r="AN123" t="s">
        <v>143</v>
      </c>
      <c r="AP123" t="s">
        <v>613</v>
      </c>
      <c r="AT123" s="50">
        <v>0</v>
      </c>
      <c r="AU123" t="s">
        <v>148</v>
      </c>
      <c r="AV123" t="s">
        <v>83</v>
      </c>
      <c r="AY123" t="s">
        <v>614</v>
      </c>
      <c r="BA123" s="53">
        <v>109</v>
      </c>
    </row>
    <row r="124" spans="1:53">
      <c r="A124" t="s">
        <v>11</v>
      </c>
      <c r="B124" s="2">
        <v>42117</v>
      </c>
      <c r="C124" s="2">
        <v>42010</v>
      </c>
      <c r="D124" t="s">
        <v>545</v>
      </c>
      <c r="E124" t="s">
        <v>521</v>
      </c>
      <c r="F124" s="2">
        <v>42117</v>
      </c>
      <c r="G124" s="2">
        <v>42177</v>
      </c>
      <c r="H124" s="2">
        <v>42177</v>
      </c>
      <c r="J124" t="s">
        <v>249</v>
      </c>
      <c r="K124" s="2">
        <v>42117</v>
      </c>
      <c r="L124" s="1">
        <v>195</v>
      </c>
      <c r="M124" s="1">
        <v>138</v>
      </c>
      <c r="N124" t="s">
        <v>313</v>
      </c>
      <c r="P124" t="s">
        <v>1091</v>
      </c>
      <c r="Q124" t="s">
        <v>4</v>
      </c>
      <c r="R124" t="s">
        <v>520</v>
      </c>
      <c r="S124" t="s">
        <v>1102</v>
      </c>
      <c r="T124" t="s">
        <v>658</v>
      </c>
      <c r="U124" t="s">
        <v>529</v>
      </c>
      <c r="V124" s="1">
        <v>0</v>
      </c>
      <c r="AK124" t="s">
        <v>519</v>
      </c>
      <c r="AL124" t="s">
        <v>11</v>
      </c>
      <c r="AM124" t="s">
        <v>11</v>
      </c>
      <c r="AN124" t="s">
        <v>143</v>
      </c>
      <c r="AP124" t="s">
        <v>613</v>
      </c>
      <c r="AT124" s="50">
        <v>0</v>
      </c>
      <c r="AU124" t="s">
        <v>148</v>
      </c>
      <c r="AV124" t="s">
        <v>83</v>
      </c>
      <c r="AW124" t="s">
        <v>564</v>
      </c>
      <c r="AY124" t="s">
        <v>614</v>
      </c>
      <c r="BA124" s="53">
        <v>123</v>
      </c>
    </row>
    <row r="125" spans="1:53">
      <c r="A125" t="s">
        <v>1101</v>
      </c>
      <c r="D125" t="s">
        <v>989</v>
      </c>
      <c r="E125" t="s">
        <v>532</v>
      </c>
      <c r="F125" s="2">
        <v>41579</v>
      </c>
      <c r="K125" s="2">
        <v>41740</v>
      </c>
      <c r="L125" s="1">
        <v>135</v>
      </c>
      <c r="N125" t="s">
        <v>154</v>
      </c>
      <c r="P125" t="s">
        <v>252</v>
      </c>
      <c r="Q125" t="s">
        <v>990</v>
      </c>
      <c r="R125" t="s">
        <v>991</v>
      </c>
      <c r="S125" t="s">
        <v>172</v>
      </c>
      <c r="T125" t="s">
        <v>172</v>
      </c>
      <c r="V125" s="1">
        <v>0</v>
      </c>
      <c r="AH125" s="50">
        <v>6800000</v>
      </c>
      <c r="AI125" s="50">
        <v>400000</v>
      </c>
      <c r="AK125" t="s">
        <v>992</v>
      </c>
      <c r="AL125" t="s">
        <v>171</v>
      </c>
      <c r="AM125" t="s">
        <v>171</v>
      </c>
      <c r="AN125" t="s">
        <v>143</v>
      </c>
      <c r="AP125" t="s">
        <v>613</v>
      </c>
      <c r="AQ125" s="50">
        <v>0</v>
      </c>
      <c r="AR125" s="50">
        <v>0</v>
      </c>
      <c r="AS125" s="50">
        <v>0</v>
      </c>
      <c r="AT125" s="50">
        <v>400000</v>
      </c>
      <c r="AU125" t="s">
        <v>142</v>
      </c>
      <c r="AV125" t="s">
        <v>83</v>
      </c>
      <c r="AY125" t="s">
        <v>614</v>
      </c>
      <c r="BA125" s="53">
        <v>169</v>
      </c>
    </row>
    <row r="126" spans="1:53">
      <c r="A126" t="s">
        <v>168</v>
      </c>
      <c r="B126" s="2">
        <v>41774</v>
      </c>
      <c r="C126" s="2">
        <v>41409</v>
      </c>
      <c r="D126" t="s">
        <v>620</v>
      </c>
      <c r="E126" t="s">
        <v>561</v>
      </c>
      <c r="F126" s="2">
        <v>41774</v>
      </c>
      <c r="G126" s="2">
        <v>41605</v>
      </c>
      <c r="H126" s="2">
        <v>41576</v>
      </c>
      <c r="J126" t="s">
        <v>249</v>
      </c>
      <c r="K126" s="2">
        <v>41774</v>
      </c>
      <c r="L126" s="1">
        <v>163</v>
      </c>
      <c r="M126" s="1">
        <v>110</v>
      </c>
      <c r="N126" t="s">
        <v>313</v>
      </c>
      <c r="P126" t="s">
        <v>1030</v>
      </c>
      <c r="Q126" t="s">
        <v>720</v>
      </c>
      <c r="R126" t="s">
        <v>744</v>
      </c>
      <c r="S126" t="s">
        <v>1026</v>
      </c>
      <c r="T126" t="s">
        <v>696</v>
      </c>
      <c r="U126" t="s">
        <v>522</v>
      </c>
      <c r="V126" s="1">
        <v>0</v>
      </c>
      <c r="AK126" t="s">
        <v>632</v>
      </c>
      <c r="AL126" t="s">
        <v>168</v>
      </c>
      <c r="AM126" t="s">
        <v>168</v>
      </c>
      <c r="AN126" t="s">
        <v>143</v>
      </c>
      <c r="AP126" t="s">
        <v>613</v>
      </c>
      <c r="AT126" s="50">
        <v>0</v>
      </c>
      <c r="AU126" t="s">
        <v>148</v>
      </c>
      <c r="AV126" t="s">
        <v>83</v>
      </c>
      <c r="AY126" t="s">
        <v>1027</v>
      </c>
      <c r="BA126" s="53">
        <v>172</v>
      </c>
    </row>
    <row r="127" spans="1:53">
      <c r="A127" t="s">
        <v>168</v>
      </c>
      <c r="B127" s="2">
        <v>41774</v>
      </c>
      <c r="C127" s="2">
        <v>41409</v>
      </c>
      <c r="D127" t="s">
        <v>620</v>
      </c>
      <c r="E127" t="s">
        <v>561</v>
      </c>
      <c r="F127" s="2">
        <v>41774</v>
      </c>
      <c r="G127" s="2">
        <v>41605</v>
      </c>
      <c r="H127" s="2">
        <v>41576</v>
      </c>
      <c r="J127" t="s">
        <v>249</v>
      </c>
      <c r="K127" s="2">
        <v>41774</v>
      </c>
      <c r="L127" s="1">
        <v>165</v>
      </c>
      <c r="M127" s="1">
        <v>112</v>
      </c>
      <c r="N127" t="s">
        <v>313</v>
      </c>
      <c r="P127" t="s">
        <v>1031</v>
      </c>
      <c r="Q127" t="s">
        <v>720</v>
      </c>
      <c r="R127" t="s">
        <v>744</v>
      </c>
      <c r="S127" t="s">
        <v>1026</v>
      </c>
      <c r="T127" t="s">
        <v>696</v>
      </c>
      <c r="U127" t="s">
        <v>522</v>
      </c>
      <c r="V127" s="1">
        <v>0</v>
      </c>
      <c r="AK127" t="s">
        <v>632</v>
      </c>
      <c r="AL127" t="s">
        <v>168</v>
      </c>
      <c r="AM127" t="s">
        <v>168</v>
      </c>
      <c r="AN127" t="s">
        <v>143</v>
      </c>
      <c r="AP127" t="s">
        <v>613</v>
      </c>
      <c r="AT127" s="50">
        <v>0</v>
      </c>
      <c r="AU127" t="s">
        <v>148</v>
      </c>
      <c r="AV127" t="s">
        <v>83</v>
      </c>
      <c r="AY127" t="s">
        <v>1027</v>
      </c>
      <c r="BA127" s="53">
        <v>117</v>
      </c>
    </row>
    <row r="128" spans="1:53">
      <c r="A128" t="s">
        <v>1101</v>
      </c>
      <c r="D128" t="s">
        <v>989</v>
      </c>
      <c r="E128" t="s">
        <v>532</v>
      </c>
      <c r="F128" s="2">
        <v>41579</v>
      </c>
      <c r="K128" s="2">
        <v>41740</v>
      </c>
      <c r="L128" s="1">
        <v>123</v>
      </c>
      <c r="N128" t="s">
        <v>154</v>
      </c>
      <c r="P128" t="s">
        <v>312</v>
      </c>
      <c r="Q128" t="s">
        <v>990</v>
      </c>
      <c r="R128" t="s">
        <v>991</v>
      </c>
      <c r="S128" t="s">
        <v>172</v>
      </c>
      <c r="T128" t="s">
        <v>172</v>
      </c>
      <c r="V128" s="1">
        <v>0</v>
      </c>
      <c r="AH128" s="50">
        <v>4800000</v>
      </c>
      <c r="AI128" s="50">
        <v>400000</v>
      </c>
      <c r="AK128" t="s">
        <v>992</v>
      </c>
      <c r="AL128" t="s">
        <v>171</v>
      </c>
      <c r="AM128" t="s">
        <v>171</v>
      </c>
      <c r="AN128" t="s">
        <v>143</v>
      </c>
      <c r="AP128" t="s">
        <v>613</v>
      </c>
      <c r="AQ128" s="50">
        <v>0</v>
      </c>
      <c r="AR128" s="50">
        <v>0</v>
      </c>
      <c r="AS128" s="50">
        <v>0</v>
      </c>
      <c r="AT128" s="50">
        <v>400000</v>
      </c>
      <c r="AU128" t="s">
        <v>142</v>
      </c>
      <c r="AV128" t="s">
        <v>83</v>
      </c>
      <c r="AY128" t="s">
        <v>614</v>
      </c>
      <c r="BA128" s="53">
        <v>185</v>
      </c>
    </row>
    <row r="129" spans="1:53">
      <c r="A129" t="s">
        <v>168</v>
      </c>
      <c r="B129" s="2">
        <v>41718</v>
      </c>
      <c r="C129" s="2">
        <v>41640</v>
      </c>
      <c r="D129" t="s">
        <v>620</v>
      </c>
      <c r="E129" t="s">
        <v>561</v>
      </c>
      <c r="F129" s="2">
        <v>41608</v>
      </c>
      <c r="G129" s="2">
        <v>41848</v>
      </c>
      <c r="H129" s="2">
        <v>41807</v>
      </c>
      <c r="I129" s="2">
        <v>41640</v>
      </c>
      <c r="J129" t="s">
        <v>112</v>
      </c>
      <c r="K129" s="2">
        <v>41718</v>
      </c>
      <c r="L129" s="1">
        <v>74</v>
      </c>
      <c r="M129" s="1">
        <v>58</v>
      </c>
      <c r="N129" t="s">
        <v>313</v>
      </c>
      <c r="P129" t="s">
        <v>962</v>
      </c>
      <c r="Q129" t="s">
        <v>720</v>
      </c>
      <c r="R129" t="s">
        <v>744</v>
      </c>
      <c r="S129" t="s">
        <v>963</v>
      </c>
      <c r="T129" t="s">
        <v>709</v>
      </c>
      <c r="U129" t="s">
        <v>522</v>
      </c>
      <c r="V129" s="1">
        <v>0</v>
      </c>
      <c r="X129" t="s">
        <v>964</v>
      </c>
      <c r="Y129" t="s">
        <v>697</v>
      </c>
      <c r="Z129" t="s">
        <v>116</v>
      </c>
      <c r="AA129" t="s">
        <v>697</v>
      </c>
      <c r="AB129" t="s">
        <v>965</v>
      </c>
      <c r="AC129" t="s">
        <v>966</v>
      </c>
      <c r="AD129" t="s">
        <v>967</v>
      </c>
      <c r="AE129" t="s">
        <v>728</v>
      </c>
      <c r="AF129" t="s">
        <v>87</v>
      </c>
      <c r="AG129" t="s">
        <v>717</v>
      </c>
      <c r="AK129" t="s">
        <v>632</v>
      </c>
      <c r="AL129" t="s">
        <v>677</v>
      </c>
      <c r="AM129" t="s">
        <v>168</v>
      </c>
      <c r="AN129" t="s">
        <v>143</v>
      </c>
      <c r="AP129" t="s">
        <v>613</v>
      </c>
      <c r="AR129" s="50">
        <v>0</v>
      </c>
      <c r="AS129" s="50">
        <v>0</v>
      </c>
      <c r="AT129" s="50">
        <v>0</v>
      </c>
      <c r="AU129" t="s">
        <v>148</v>
      </c>
      <c r="AV129" t="s">
        <v>83</v>
      </c>
      <c r="AY129" t="s">
        <v>614</v>
      </c>
      <c r="BA129" s="53">
        <v>144</v>
      </c>
    </row>
    <row r="130" spans="1:53">
      <c r="BA130" s="53">
        <v>185</v>
      </c>
    </row>
  </sheetData>
  <pageMargins left="0.75" right="0.75" top="1" bottom="1" header="0.5" footer="0.5"/>
  <pageSetup orientation="portrait" horizontalDpi="300" verticalDpi="30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6</vt:i4>
      </vt:variant>
    </vt:vector>
  </HeadingPairs>
  <TitlesOfParts>
    <vt:vector size="10" baseType="lpstr">
      <vt:lpstr>Model</vt:lpstr>
      <vt:lpstr>Portfolio Analysis</vt:lpstr>
      <vt:lpstr>Project Finance Feed</vt:lpstr>
      <vt:lpstr>Project Request Feed</vt:lpstr>
      <vt:lpstr>Budget</vt:lpstr>
      <vt:lpstr>Portfolio_Expenses</vt:lpstr>
      <vt:lpstr>Portfolio_Resources</vt:lpstr>
      <vt:lpstr>Resource_Capacity</vt:lpstr>
      <vt:lpstr>Total_Expenses</vt:lpstr>
      <vt:lpstr>Total_Resources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dc:creator>
  <cp:lastModifiedBy>Linda Mancusi-Ungaro</cp:lastModifiedBy>
  <cp:lastPrinted>2012-07-24T22:56:47Z</cp:lastPrinted>
  <dcterms:created xsi:type="dcterms:W3CDTF">2012-07-24T23:09:48Z</dcterms:created>
  <dcterms:modified xsi:type="dcterms:W3CDTF">2015-11-04T16:28:22Z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ies>
</file>